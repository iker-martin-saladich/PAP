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" sheetId="1" state="visible" r:id="rId3"/>
    <sheet name="Capítols" sheetId="2" state="visible" r:id="rId4"/>
    <sheet name="Tasques" sheetId="3" state="visible" r:id="rId5"/>
    <sheet name="Riscos" sheetId="4" state="visible" r:id="rId6"/>
    <sheet name="Bibliografi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<sst xmlns="http://schemas.openxmlformats.org/spreadsheetml/2006/main" count="238" uniqueCount="155">
  <si>
    <t xml:space="preserve">PLM · TFM: Optimització Quàntica Energètica</t>
  </si>
  <si>
    <t xml:space="preserve">Tesi de fi de màster | Algorismes QAOA/VQE aplicats a dispatch econòmic</t>
  </si>
  <si>
    <t xml:space="preserve">  INDICADORS GLOBALS</t>
  </si>
  <si>
    <t xml:space="preserve">Indicador</t>
  </si>
  <si>
    <t xml:space="preserve">Valor</t>
  </si>
  <si>
    <t xml:space="preserve">Unitat</t>
  </si>
  <si>
    <t xml:space="preserve">Nota</t>
  </si>
  <si>
    <t xml:space="preserve">Progrés global tesi</t>
  </si>
  <si>
    <t xml:space="preserve">%</t>
  </si>
  <si>
    <t xml:space="preserve">Mitjana de capítols</t>
  </si>
  <si>
    <t xml:space="preserve">Capítols completats</t>
  </si>
  <si>
    <t xml:space="preserve">caps.</t>
  </si>
  <si>
    <t xml:space="preserve">Capítols en progrés</t>
  </si>
  <si>
    <t xml:space="preserve">Tasques completades</t>
  </si>
  <si>
    <t xml:space="preserve">ud.</t>
  </si>
  <si>
    <t xml:space="preserve">Tasques pendents</t>
  </si>
  <si>
    <t xml:space="preserve">Referències bibliogràfiques</t>
  </si>
  <si>
    <t xml:space="preserve">refs.</t>
  </si>
  <si>
    <t xml:space="preserve">Riscos alts oberts</t>
  </si>
  <si>
    <t xml:space="preserve">  NOTES GENERALS / DECISIONS METODOLÒGIQUES</t>
  </si>
  <si>
    <t xml:space="preserve">Decisions metodològiques, canvis d'enfocament, observacions del director de tesi.</t>
  </si>
  <si>
    <t xml:space="preserve">Capítols de la Tesi</t>
  </si>
  <si>
    <t xml:space="preserve">  ESTAT DELS CAPÍTOLS</t>
  </si>
  <si>
    <t xml:space="preserve">#</t>
  </si>
  <si>
    <t xml:space="preserve">Títol del capítol</t>
  </si>
  <si>
    <t xml:space="preserve">Contingut principal</t>
  </si>
  <si>
    <t xml:space="preserve">Pàgines est.</t>
  </si>
  <si>
    <t xml:space="preserve">Pàgines reals</t>
  </si>
  <si>
    <t xml:space="preserve">% Complet</t>
  </si>
  <si>
    <t xml:space="preserve">Barra progrés</t>
  </si>
  <si>
    <t xml:space="preserve">Estat</t>
  </si>
  <si>
    <t xml:space="preserve">Introducció i motivació</t>
  </si>
  <si>
    <t xml:space="preserve">Context energètic, justificació quàntica, objectius</t>
  </si>
  <si>
    <t xml:space="preserve">██████████  100%</t>
  </si>
  <si>
    <t xml:space="preserve">Completat</t>
  </si>
  <si>
    <t xml:space="preserve">Fonaments de computació quàntica</t>
  </si>
  <si>
    <t xml:space="preserve">Qubits, portes quàntiques, entrellaçament, algoritmes bàsics</t>
  </si>
  <si>
    <t xml:space="preserve">Estat de l'art: optimització quàntica</t>
  </si>
  <si>
    <t xml:space="preserve">QAOA, VQE, Quantum Annealing aplicats a energia</t>
  </si>
  <si>
    <t xml:space="preserve">██████░░░░  60%</t>
  </si>
  <si>
    <t xml:space="preserve">En progrés</t>
  </si>
  <si>
    <t xml:space="preserve">Modelització del problema energètic</t>
  </si>
  <si>
    <t xml:space="preserve">Formulació QUBO/Ising del dispatch econòmic</t>
  </si>
  <si>
    <t xml:space="preserve">███░░░░░░░  30%</t>
  </si>
  <si>
    <t xml:space="preserve">Implementació i simulació (Qiskit)</t>
  </si>
  <si>
    <t xml:space="preserve">Codi Python/Qiskit, simulació clàssica i hardware</t>
  </si>
  <si>
    <t xml:space="preserve">░░░░░░░░░░  0%</t>
  </si>
  <si>
    <t xml:space="preserve">Pendent</t>
  </si>
  <si>
    <t xml:space="preserve">Resultats i discussió</t>
  </si>
  <si>
    <t xml:space="preserve">Comparativa clàssic vs quàntic, qualitat solucions</t>
  </si>
  <si>
    <t xml:space="preserve">Conclusions i treballs futurs</t>
  </si>
  <si>
    <t xml:space="preserve">Limitacions hardware actual, perspectiva 5 anys</t>
  </si>
  <si>
    <t xml:space="preserve">TOTAL</t>
  </si>
  <si>
    <t xml:space="preserve">Tasques · TFM Quàntic</t>
  </si>
  <si>
    <t xml:space="preserve">  LLISTA DE TASQUES DE RECERCA</t>
  </si>
  <si>
    <t xml:space="preserve">Tasca</t>
  </si>
  <si>
    <t xml:space="preserve">Capítol associat</t>
  </si>
  <si>
    <t xml:space="preserve">Prioritat</t>
  </si>
  <si>
    <t xml:space="preserve">% Fet</t>
  </si>
  <si>
    <t xml:space="preserve">Notes</t>
  </si>
  <si>
    <t xml:space="preserve">Revisió bibliogràfica inicial</t>
  </si>
  <si>
    <t xml:space="preserve">Transversal</t>
  </si>
  <si>
    <t xml:space="preserve">Alta</t>
  </si>
  <si>
    <t xml:space="preserve">Configurar entorn Qiskit (Python venv)</t>
  </si>
  <si>
    <t xml:space="preserve">Implementació</t>
  </si>
  <si>
    <t xml:space="preserve">Qiskit 1.x</t>
  </si>
  <si>
    <t xml:space="preserve">Redactar capítol 1 (Introducció)</t>
  </si>
  <si>
    <t xml:space="preserve">Cap. 1</t>
  </si>
  <si>
    <t xml:space="preserve">Redactar capítol 2 (Fonaments)</t>
  </si>
  <si>
    <t xml:space="preserve">Cap. 2</t>
  </si>
  <si>
    <t xml:space="preserve">Acabar capítol 3 (Estat de l'art)</t>
  </si>
  <si>
    <t xml:space="preserve">Cap. 3</t>
  </si>
  <si>
    <t xml:space="preserve">Falta secció VQE</t>
  </si>
  <si>
    <t xml:space="preserve">Formular problema com a QUBO</t>
  </si>
  <si>
    <t xml:space="preserve">Cap. 4</t>
  </si>
  <si>
    <t xml:space="preserve">Economic Dispatch</t>
  </si>
  <si>
    <t xml:space="preserve">Transformació QUBO → Ising Hamiltonian</t>
  </si>
  <si>
    <t xml:space="preserve">Implementar QAOA amb Qiskit</t>
  </si>
  <si>
    <t xml:space="preserve">Cap. 5</t>
  </si>
  <si>
    <t xml:space="preserve">Implementar VQE amb Qiskit</t>
  </si>
  <si>
    <t xml:space="preserve">Mitja</t>
  </si>
  <si>
    <t xml:space="preserve">Opcional si hi ha temps</t>
  </si>
  <si>
    <t xml:space="preserve">Executar simulació clàssica (qasm_simulator)</t>
  </si>
  <si>
    <t xml:space="preserve">Accedir a IBM Quantum i executar en hardware</t>
  </si>
  <si>
    <t xml:space="preserve">IBM Quantum free tier</t>
  </si>
  <si>
    <t xml:space="preserve">Comparar resultats quàntic vs solver clàssic</t>
  </si>
  <si>
    <t xml:space="preserve">Cap. 6</t>
  </si>
  <si>
    <t xml:space="preserve">GLPK o CPLEX</t>
  </si>
  <si>
    <t xml:space="preserve">Redactar capítol 6 (Resultats)</t>
  </si>
  <si>
    <t xml:space="preserve">Redactar capítol 7 (Conclusions)</t>
  </si>
  <si>
    <t xml:space="preserve">Cap. 7</t>
  </si>
  <si>
    <t xml:space="preserve">Revisió global del document</t>
  </si>
  <si>
    <t xml:space="preserve">Amb el director de tesi</t>
  </si>
  <si>
    <t xml:space="preserve">Preparar presentació de defensa</t>
  </si>
  <si>
    <t xml:space="preserve">Defensa</t>
  </si>
  <si>
    <t xml:space="preserve">~15 diapositives</t>
  </si>
  <si>
    <t xml:space="preserve">Lliurament formal de la tesi</t>
  </si>
  <si>
    <t xml:space="preserve">Data límit: pendent</t>
  </si>
  <si>
    <t xml:space="preserve">Riscos · TFM Quàntic</t>
  </si>
  <si>
    <t xml:space="preserve">  REGISTRE DE RISCOS</t>
  </si>
  <si>
    <t xml:space="preserve">Risc</t>
  </si>
  <si>
    <t xml:space="preserve">Probabilitat</t>
  </si>
  <si>
    <t xml:space="preserve">Impacte</t>
  </si>
  <si>
    <t xml:space="preserve">Mesures de mitigació</t>
  </si>
  <si>
    <t xml:space="preserve">Responsable</t>
  </si>
  <si>
    <t xml:space="preserve">Limitació hardware quàntic (soroll, pocs qubits)</t>
  </si>
  <si>
    <t xml:space="preserve">Alt</t>
  </si>
  <si>
    <t xml:space="preserve">Usar simuladors clàssics com entorn principal de validació</t>
  </si>
  <si>
    <t xml:space="preserve">Estudiant</t>
  </si>
  <si>
    <t xml:space="preserve">Obert</t>
  </si>
  <si>
    <t xml:space="preserve">Incompliment del termini de lliurament</t>
  </si>
  <si>
    <t xml:space="preserve">Pla de treball setmanal; reunions quinzenals amb director</t>
  </si>
  <si>
    <t xml:space="preserve">Dificultat de convergència algorismes variacionals (QAOA)</t>
  </si>
  <si>
    <t xml:space="preserve">Testar múltiples ansatzes i paràmetres; comparar benchmarks</t>
  </si>
  <si>
    <t xml:space="preserve">Formulació QUBO incorrecta o mal escalada</t>
  </si>
  <si>
    <t xml:space="preserve">Validar amb casos petits resolts analíticament</t>
  </si>
  <si>
    <t xml:space="preserve">Accés limitat a IBM Quantum (cua llarga)</t>
  </si>
  <si>
    <t xml:space="preserve">Mig</t>
  </si>
  <si>
    <t xml:space="preserve">Prioritzar simulació; usar hardware com a validació puntual</t>
  </si>
  <si>
    <t xml:space="preserve">Acceptat</t>
  </si>
  <si>
    <t xml:space="preserve">Canvis en l'API de Qiskit (v0.x → v1.x)</t>
  </si>
  <si>
    <t xml:space="preserve">Baixa</t>
  </si>
  <si>
    <t xml:space="preserve">Fixar versió en requirements.txt; documentar la versió usada</t>
  </si>
  <si>
    <t xml:space="preserve">Tancat</t>
  </si>
  <si>
    <t xml:space="preserve">Bibliografia · TFM Quàntic</t>
  </si>
  <si>
    <t xml:space="preserve">  REGISTRE BIBLIOGRÀFIC</t>
  </si>
  <si>
    <t xml:space="preserve">Any</t>
  </si>
  <si>
    <t xml:space="preserve">Referència completa</t>
  </si>
  <si>
    <t xml:space="preserve">Temàtica</t>
  </si>
  <si>
    <t xml:space="preserve">Llegit</t>
  </si>
  <si>
    <t xml:space="preserve">Citat al TFM</t>
  </si>
  <si>
    <t xml:space="preserve">Farhi, E., Goldstone, J., &amp; Gutmann, S. A Quantum Approximate Optimization Algorithm. arXiv:1411.4028.</t>
  </si>
  <si>
    <t xml:space="preserve">QAOA / Algorismes</t>
  </si>
  <si>
    <t xml:space="preserve">Sí</t>
  </si>
  <si>
    <t xml:space="preserve">Referència fonamental QAOA</t>
  </si>
  <si>
    <t xml:space="preserve">Peruzzo, A. et al. A variational eigenvalue solver on a photonic quantum processor. Nature Communications, 5, 4213.</t>
  </si>
  <si>
    <t xml:space="preserve">VQE</t>
  </si>
  <si>
    <t xml:space="preserve">Referència fonamental VQE</t>
  </si>
  <si>
    <t xml:space="preserve">Ajagekar, A., &amp; You, F. Quantum computing for energy systems optimization. Energy, 179, 76-89.</t>
  </si>
  <si>
    <t xml:space="preserve">Energia + Quàntica</t>
  </si>
  <si>
    <t xml:space="preserve">Cas d'ús energètic directament rellevant</t>
  </si>
  <si>
    <t xml:space="preserve">Glover, F. et al. Quantum Bridge Analytics I: A Tutorial on Formulating and Using QUBO Models. 4OR, 17(4), 335-371.</t>
  </si>
  <si>
    <t xml:space="preserve">QUBO</t>
  </si>
  <si>
    <t xml:space="preserve">Essencial per formular el problema</t>
  </si>
  <si>
    <t xml:space="preserve">Moll, N. et al. Quantum optimization using variational algorithms on near-term quantum devices. Quantum Science and Technology, 3, 030503.</t>
  </si>
  <si>
    <t xml:space="preserve">VQA general</t>
  </si>
  <si>
    <t xml:space="preserve">Parcial</t>
  </si>
  <si>
    <t xml:space="preserve">No</t>
  </si>
  <si>
    <t xml:space="preserve">Herman, D. et al. A Survey of Quantum Computing for Finance. arXiv:2201.02773.</t>
  </si>
  <si>
    <t xml:space="preserve">Optimització combinatòria</t>
  </si>
  <si>
    <t xml:space="preserve">Útil per context general</t>
  </si>
  <si>
    <t xml:space="preserve">IBM Quantum Documentation – Qiskit 1.x. docs.quantum.ibm.com</t>
  </si>
  <si>
    <t xml:space="preserve">Qiskit</t>
  </si>
  <si>
    <t xml:space="preserve">Consulta contínua</t>
  </si>
  <si>
    <t xml:space="preserve">Afegeix aquí noves referències...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</si>
</sst>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717D7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22B2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5D6D7E"/>
        <bgColor rgb="FF717D7E"/>
      </patternFill>
    </fill>
    <fill>
      <patternFill patternType="solid">
        <fgColor rgb="FFEBF5FB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D5E8F0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0C0C0"/>
      <rgbColor rgb="FF717D7E"/>
      <rgbColor rgb="FF9999FF"/>
      <rgbColor rgb="FF993366"/>
      <rgbColor rgb="FFF8F9FA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B4F72"/>
      <rgbColor rgb="FF1E8449"/>
      <rgbColor rgb="FF003300"/>
      <rgbColor rgb="FF333300"/>
      <rgbColor rgb="FF922B21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23.85" hidden="false" customHeight="false" outlineLevel="0" collapsed="false">
      <c r="A5" s="5" t="s">
        <v>7</v>
      </c>
      <c r="B5" s="6" t="n">
        <f aca="false">IFERROR(AVERAGE(Capítols!E4:E10),0)</f>
        <v>16.5</v>
      </c>
      <c r="C5" s="5" t="s">
        <v>8</v>
      </c>
      <c r="D5" s="5" t="s">
        <v>9</v>
      </c>
    </row>
    <row r="6" customFormat="false" ht="15" hidden="false" customHeight="false" outlineLevel="0" collapsed="false">
      <c r="A6" s="7" t="s">
        <v>10</v>
      </c>
      <c r="B6" s="8" t="n">
        <f aca="false">COUNTIF(Capítols!F4:F10,"Completat")</f>
        <v>0</v>
      </c>
      <c r="C6" s="7" t="s">
        <v>11</v>
      </c>
      <c r="D6" s="7"/>
    </row>
    <row r="7" customFormat="false" ht="15" hidden="false" customHeight="false" outlineLevel="0" collapsed="false">
      <c r="A7" s="5" t="s">
        <v>12</v>
      </c>
      <c r="B7" s="6" t="n">
        <f aca="false">COUNTIF(Capítols!F4:F10,"En progrés")</f>
        <v>0</v>
      </c>
      <c r="C7" s="5" t="s">
        <v>11</v>
      </c>
      <c r="D7" s="5"/>
    </row>
    <row r="8" customFormat="false" ht="15" hidden="false" customHeight="false" outlineLevel="0" collapsed="false">
      <c r="A8" s="7" t="s">
        <v>13</v>
      </c>
      <c r="B8" s="8" t="n">
        <f aca="false">COUNTIF(Tasques!D4:D25,"Completat")</f>
        <v>0</v>
      </c>
      <c r="C8" s="7" t="s">
        <v>14</v>
      </c>
      <c r="D8" s="7"/>
    </row>
    <row r="9" customFormat="false" ht="15" hidden="false" customHeight="false" outlineLevel="0" collapsed="false">
      <c r="A9" s="5" t="s">
        <v>15</v>
      </c>
      <c r="B9" s="6" t="n">
        <f aca="false">COUNTIF(Tasques!D4:D25,"Pendent")</f>
        <v>0</v>
      </c>
      <c r="C9" s="5" t="s">
        <v>14</v>
      </c>
      <c r="D9" s="5"/>
    </row>
    <row r="10" customFormat="false" ht="23.85" hidden="false" customHeight="false" outlineLevel="0" collapsed="false">
      <c r="A10" s="7" t="s">
        <v>16</v>
      </c>
      <c r="B10" s="8" t="n">
        <f aca="false">COUNTA(Bibliografia!B4:B50)-COUNTBLANK(Bibliografia!B4:B50)</f>
        <v>-31</v>
      </c>
      <c r="C10" s="7" t="s">
        <v>17</v>
      </c>
      <c r="D10" s="7"/>
    </row>
    <row r="11" customFormat="false" ht="15" hidden="false" customHeight="false" outlineLevel="0" collapsed="false">
      <c r="A11" s="5" t="s">
        <v>18</v>
      </c>
      <c r="B11" s="6" t="n">
        <f aca="false">COUNTIFS(Riscos!C4:C15,"Alta",Riscos!G4:G15,"Obert")</f>
        <v>2</v>
      </c>
      <c r="C11" s="5" t="s">
        <v>14</v>
      </c>
      <c r="D11" s="5"/>
    </row>
    <row r="13" customFormat="false" ht="18" hidden="false" customHeight="true" outlineLevel="0" collapsed="false">
      <c r="A13" s="3" t="s">
        <v>19</v>
      </c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9" t="s">
        <v>20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</sheetData>
  <mergeCells count="5">
    <mergeCell ref="A1:H1"/>
    <mergeCell ref="A2:H2"/>
    <mergeCell ref="A3:H3"/>
    <mergeCell ref="A13:H13"/>
    <mergeCell ref="A14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36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30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</row>
    <row r="5" customFormat="false" ht="39.75" hidden="false" customHeight="true" outlineLevel="0" collapsed="false">
      <c r="A5" s="10" t="n">
        <v>1</v>
      </c>
      <c r="B5" s="5" t="s">
        <v>31</v>
      </c>
      <c r="C5" s="5" t="s">
        <v>32</v>
      </c>
      <c r="D5" s="5" t="n">
        <v>10</v>
      </c>
      <c r="E5" s="5" t="n">
        <v>11</v>
      </c>
      <c r="F5" s="11" t="n">
        <v>100</v>
      </c>
      <c r="G5" s="5" t="s">
        <v>33</v>
      </c>
      <c r="H5" s="12" t="s">
        <v>34</v>
      </c>
    </row>
    <row r="6" customFormat="false" ht="39.75" hidden="false" customHeight="true" outlineLevel="0" collapsed="false">
      <c r="A6" s="13" t="n">
        <v>2</v>
      </c>
      <c r="B6" s="7" t="s">
        <v>35</v>
      </c>
      <c r="C6" s="7" t="s">
        <v>36</v>
      </c>
      <c r="D6" s="7" t="n">
        <v>20</v>
      </c>
      <c r="E6" s="7" t="n">
        <v>22</v>
      </c>
      <c r="F6" s="14" t="n">
        <v>100</v>
      </c>
      <c r="G6" s="7" t="s">
        <v>33</v>
      </c>
      <c r="H6" s="15" t="s">
        <v>34</v>
      </c>
    </row>
    <row r="7" customFormat="false" ht="39.75" hidden="false" customHeight="true" outlineLevel="0" collapsed="false">
      <c r="A7" s="10" t="n">
        <v>3</v>
      </c>
      <c r="B7" s="5" t="s">
        <v>37</v>
      </c>
      <c r="C7" s="5" t="s">
        <v>38</v>
      </c>
      <c r="D7" s="5" t="n">
        <v>18</v>
      </c>
      <c r="E7" s="5"/>
      <c r="F7" s="11" t="n">
        <v>60</v>
      </c>
      <c r="G7" s="5" t="s">
        <v>39</v>
      </c>
      <c r="H7" s="16" t="s">
        <v>40</v>
      </c>
    </row>
    <row r="8" customFormat="false" ht="39.75" hidden="false" customHeight="true" outlineLevel="0" collapsed="false">
      <c r="A8" s="13" t="n">
        <v>4</v>
      </c>
      <c r="B8" s="7" t="s">
        <v>41</v>
      </c>
      <c r="C8" s="7" t="s">
        <v>42</v>
      </c>
      <c r="D8" s="7" t="n">
        <v>15</v>
      </c>
      <c r="E8" s="7"/>
      <c r="F8" s="14" t="n">
        <v>30</v>
      </c>
      <c r="G8" s="7" t="s">
        <v>43</v>
      </c>
      <c r="H8" s="17" t="s">
        <v>40</v>
      </c>
    </row>
    <row r="9" customFormat="false" ht="39.75" hidden="false" customHeight="true" outlineLevel="0" collapsed="false">
      <c r="A9" s="10" t="n">
        <v>5</v>
      </c>
      <c r="B9" s="5" t="s">
        <v>44</v>
      </c>
      <c r="C9" s="5" t="s">
        <v>45</v>
      </c>
      <c r="D9" s="5" t="n">
        <v>20</v>
      </c>
      <c r="E9" s="5"/>
      <c r="F9" s="11" t="n">
        <v>0</v>
      </c>
      <c r="G9" s="5" t="s">
        <v>46</v>
      </c>
      <c r="H9" s="18" t="s">
        <v>47</v>
      </c>
    </row>
    <row r="10" customFormat="false" ht="39.75" hidden="false" customHeight="true" outlineLevel="0" collapsed="false">
      <c r="A10" s="13" t="n">
        <v>6</v>
      </c>
      <c r="B10" s="7" t="s">
        <v>48</v>
      </c>
      <c r="C10" s="7" t="s">
        <v>49</v>
      </c>
      <c r="D10" s="7" t="n">
        <v>15</v>
      </c>
      <c r="E10" s="7"/>
      <c r="F10" s="14" t="n">
        <v>0</v>
      </c>
      <c r="G10" s="7" t="s">
        <v>46</v>
      </c>
      <c r="H10" s="19" t="s">
        <v>47</v>
      </c>
    </row>
    <row r="11" customFormat="false" ht="39.75" hidden="false" customHeight="true" outlineLevel="0" collapsed="false">
      <c r="A11" s="10" t="n">
        <v>7</v>
      </c>
      <c r="B11" s="5" t="s">
        <v>50</v>
      </c>
      <c r="C11" s="5" t="s">
        <v>51</v>
      </c>
      <c r="D11" s="5" t="n">
        <v>8</v>
      </c>
      <c r="E11" s="5"/>
      <c r="F11" s="11" t="n">
        <v>0</v>
      </c>
      <c r="G11" s="5" t="s">
        <v>46</v>
      </c>
      <c r="H11" s="18" t="s">
        <v>47</v>
      </c>
    </row>
    <row r="12" customFormat="false" ht="15" hidden="false" customHeight="false" outlineLevel="0" collapsed="false">
      <c r="A12" s="20"/>
      <c r="B12" s="20" t="s">
        <v>52</v>
      </c>
      <c r="C12" s="20"/>
      <c r="D12" s="20" t="n">
        <f aca="false">SUM(D5:D11)</f>
        <v>106</v>
      </c>
      <c r="E12" s="20" t="n">
        <f aca="false">SUM(E5:E11)</f>
        <v>33</v>
      </c>
      <c r="F12" s="20"/>
      <c r="G12" s="20"/>
      <c r="H12" s="2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36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54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23</v>
      </c>
      <c r="B4" s="4" t="s">
        <v>55</v>
      </c>
      <c r="C4" s="4" t="s">
        <v>56</v>
      </c>
      <c r="D4" s="4" t="s">
        <v>57</v>
      </c>
      <c r="E4" s="4" t="s">
        <v>30</v>
      </c>
      <c r="F4" s="4" t="s">
        <v>58</v>
      </c>
      <c r="G4" s="4" t="s">
        <v>59</v>
      </c>
    </row>
    <row r="5" customFormat="false" ht="15" hidden="false" customHeight="false" outlineLevel="0" collapsed="false">
      <c r="A5" s="10" t="n">
        <v>1</v>
      </c>
      <c r="B5" s="5" t="s">
        <v>60</v>
      </c>
      <c r="C5" s="5" t="s">
        <v>61</v>
      </c>
      <c r="D5" s="21" t="s">
        <v>62</v>
      </c>
      <c r="E5" s="12" t="s">
        <v>34</v>
      </c>
      <c r="F5" s="11" t="n">
        <v>100</v>
      </c>
      <c r="G5" s="5"/>
    </row>
    <row r="6" customFormat="false" ht="15" hidden="false" customHeight="false" outlineLevel="0" collapsed="false">
      <c r="A6" s="13" t="n">
        <v>2</v>
      </c>
      <c r="B6" s="7" t="s">
        <v>63</v>
      </c>
      <c r="C6" s="7" t="s">
        <v>64</v>
      </c>
      <c r="D6" s="22" t="s">
        <v>62</v>
      </c>
      <c r="E6" s="15" t="s">
        <v>34</v>
      </c>
      <c r="F6" s="14" t="n">
        <v>100</v>
      </c>
      <c r="G6" s="7" t="s">
        <v>65</v>
      </c>
    </row>
    <row r="7" customFormat="false" ht="15" hidden="false" customHeight="false" outlineLevel="0" collapsed="false">
      <c r="A7" s="10" t="n">
        <v>3</v>
      </c>
      <c r="B7" s="5" t="s">
        <v>66</v>
      </c>
      <c r="C7" s="5" t="s">
        <v>67</v>
      </c>
      <c r="D7" s="21" t="s">
        <v>62</v>
      </c>
      <c r="E7" s="12" t="s">
        <v>34</v>
      </c>
      <c r="F7" s="11" t="n">
        <v>100</v>
      </c>
      <c r="G7" s="5"/>
    </row>
    <row r="8" customFormat="false" ht="15" hidden="false" customHeight="false" outlineLevel="0" collapsed="false">
      <c r="A8" s="13" t="n">
        <v>4</v>
      </c>
      <c r="B8" s="7" t="s">
        <v>68</v>
      </c>
      <c r="C8" s="7" t="s">
        <v>69</v>
      </c>
      <c r="D8" s="22" t="s">
        <v>62</v>
      </c>
      <c r="E8" s="15" t="s">
        <v>34</v>
      </c>
      <c r="F8" s="14" t="n">
        <v>100</v>
      </c>
      <c r="G8" s="7"/>
    </row>
    <row r="9" customFormat="false" ht="15" hidden="false" customHeight="false" outlineLevel="0" collapsed="false">
      <c r="A9" s="10" t="n">
        <v>5</v>
      </c>
      <c r="B9" s="5" t="s">
        <v>70</v>
      </c>
      <c r="C9" s="5" t="s">
        <v>71</v>
      </c>
      <c r="D9" s="21" t="s">
        <v>62</v>
      </c>
      <c r="E9" s="16" t="s">
        <v>40</v>
      </c>
      <c r="F9" s="11" t="n">
        <v>60</v>
      </c>
      <c r="G9" s="5" t="s">
        <v>72</v>
      </c>
    </row>
    <row r="10" customFormat="false" ht="15" hidden="false" customHeight="false" outlineLevel="0" collapsed="false">
      <c r="A10" s="13" t="n">
        <v>6</v>
      </c>
      <c r="B10" s="7" t="s">
        <v>73</v>
      </c>
      <c r="C10" s="7" t="s">
        <v>74</v>
      </c>
      <c r="D10" s="22" t="s">
        <v>62</v>
      </c>
      <c r="E10" s="17" t="s">
        <v>40</v>
      </c>
      <c r="F10" s="14" t="n">
        <v>30</v>
      </c>
      <c r="G10" s="7" t="s">
        <v>75</v>
      </c>
    </row>
    <row r="11" customFormat="false" ht="15" hidden="false" customHeight="false" outlineLevel="0" collapsed="false">
      <c r="A11" s="10" t="n">
        <v>7</v>
      </c>
      <c r="B11" s="5" t="s">
        <v>76</v>
      </c>
      <c r="C11" s="5" t="s">
        <v>74</v>
      </c>
      <c r="D11" s="21" t="s">
        <v>62</v>
      </c>
      <c r="E11" s="18" t="s">
        <v>47</v>
      </c>
      <c r="F11" s="11" t="n">
        <v>0</v>
      </c>
      <c r="G11" s="5"/>
    </row>
    <row r="12" customFormat="false" ht="15" hidden="false" customHeight="false" outlineLevel="0" collapsed="false">
      <c r="A12" s="13" t="n">
        <v>8</v>
      </c>
      <c r="B12" s="7" t="s">
        <v>77</v>
      </c>
      <c r="C12" s="7" t="s">
        <v>78</v>
      </c>
      <c r="D12" s="22" t="s">
        <v>62</v>
      </c>
      <c r="E12" s="19" t="s">
        <v>47</v>
      </c>
      <c r="F12" s="14" t="n">
        <v>0</v>
      </c>
      <c r="G12" s="7"/>
    </row>
    <row r="13" customFormat="false" ht="15" hidden="false" customHeight="false" outlineLevel="0" collapsed="false">
      <c r="A13" s="10" t="n">
        <v>9</v>
      </c>
      <c r="B13" s="5" t="s">
        <v>79</v>
      </c>
      <c r="C13" s="5" t="s">
        <v>78</v>
      </c>
      <c r="D13" s="16" t="s">
        <v>80</v>
      </c>
      <c r="E13" s="18" t="s">
        <v>47</v>
      </c>
      <c r="F13" s="11" t="n">
        <v>0</v>
      </c>
      <c r="G13" s="5" t="s">
        <v>81</v>
      </c>
    </row>
    <row r="14" customFormat="false" ht="15" hidden="false" customHeight="false" outlineLevel="0" collapsed="false">
      <c r="A14" s="13" t="n">
        <v>10</v>
      </c>
      <c r="B14" s="7" t="s">
        <v>82</v>
      </c>
      <c r="C14" s="7" t="s">
        <v>78</v>
      </c>
      <c r="D14" s="22" t="s">
        <v>62</v>
      </c>
      <c r="E14" s="19" t="s">
        <v>47</v>
      </c>
      <c r="F14" s="14" t="n">
        <v>0</v>
      </c>
      <c r="G14" s="7"/>
    </row>
    <row r="15" customFormat="false" ht="23.85" hidden="false" customHeight="false" outlineLevel="0" collapsed="false">
      <c r="A15" s="10" t="n">
        <v>11</v>
      </c>
      <c r="B15" s="5" t="s">
        <v>83</v>
      </c>
      <c r="C15" s="5" t="s">
        <v>78</v>
      </c>
      <c r="D15" s="16" t="s">
        <v>80</v>
      </c>
      <c r="E15" s="18" t="s">
        <v>47</v>
      </c>
      <c r="F15" s="11" t="n">
        <v>0</v>
      </c>
      <c r="G15" s="5" t="s">
        <v>84</v>
      </c>
    </row>
    <row r="16" customFormat="false" ht="15" hidden="false" customHeight="false" outlineLevel="0" collapsed="false">
      <c r="A16" s="13" t="n">
        <v>12</v>
      </c>
      <c r="B16" s="7" t="s">
        <v>85</v>
      </c>
      <c r="C16" s="7" t="s">
        <v>86</v>
      </c>
      <c r="D16" s="22" t="s">
        <v>62</v>
      </c>
      <c r="E16" s="19" t="s">
        <v>47</v>
      </c>
      <c r="F16" s="14" t="n">
        <v>0</v>
      </c>
      <c r="G16" s="7" t="s">
        <v>87</v>
      </c>
    </row>
    <row r="17" customFormat="false" ht="15" hidden="false" customHeight="false" outlineLevel="0" collapsed="false">
      <c r="A17" s="10" t="n">
        <v>13</v>
      </c>
      <c r="B17" s="5" t="s">
        <v>88</v>
      </c>
      <c r="C17" s="5" t="s">
        <v>86</v>
      </c>
      <c r="D17" s="21" t="s">
        <v>62</v>
      </c>
      <c r="E17" s="18" t="s">
        <v>47</v>
      </c>
      <c r="F17" s="11" t="n">
        <v>0</v>
      </c>
      <c r="G17" s="5"/>
    </row>
    <row r="18" customFormat="false" ht="15" hidden="false" customHeight="false" outlineLevel="0" collapsed="false">
      <c r="A18" s="13" t="n">
        <v>14</v>
      </c>
      <c r="B18" s="7" t="s">
        <v>89</v>
      </c>
      <c r="C18" s="7" t="s">
        <v>90</v>
      </c>
      <c r="D18" s="22" t="s">
        <v>62</v>
      </c>
      <c r="E18" s="19" t="s">
        <v>47</v>
      </c>
      <c r="F18" s="14" t="n">
        <v>0</v>
      </c>
      <c r="G18" s="7"/>
    </row>
    <row r="19" customFormat="false" ht="15" hidden="false" customHeight="false" outlineLevel="0" collapsed="false">
      <c r="A19" s="10" t="n">
        <v>15</v>
      </c>
      <c r="B19" s="5" t="s">
        <v>91</v>
      </c>
      <c r="C19" s="5" t="s">
        <v>61</v>
      </c>
      <c r="D19" s="21" t="s">
        <v>62</v>
      </c>
      <c r="E19" s="18" t="s">
        <v>47</v>
      </c>
      <c r="F19" s="11" t="n">
        <v>0</v>
      </c>
      <c r="G19" s="5" t="s">
        <v>92</v>
      </c>
    </row>
    <row r="20" customFormat="false" ht="15" hidden="false" customHeight="false" outlineLevel="0" collapsed="false">
      <c r="A20" s="13" t="n">
        <v>16</v>
      </c>
      <c r="B20" s="7" t="s">
        <v>93</v>
      </c>
      <c r="C20" s="7" t="s">
        <v>94</v>
      </c>
      <c r="D20" s="22" t="s">
        <v>62</v>
      </c>
      <c r="E20" s="19" t="s">
        <v>47</v>
      </c>
      <c r="F20" s="14" t="n">
        <v>0</v>
      </c>
      <c r="G20" s="7" t="s">
        <v>95</v>
      </c>
    </row>
    <row r="21" customFormat="false" ht="15" hidden="false" customHeight="false" outlineLevel="0" collapsed="false">
      <c r="A21" s="10" t="n">
        <v>17</v>
      </c>
      <c r="B21" s="5" t="s">
        <v>96</v>
      </c>
      <c r="C21" s="5" t="s">
        <v>94</v>
      </c>
      <c r="D21" s="21" t="s">
        <v>62</v>
      </c>
      <c r="E21" s="18" t="s">
        <v>47</v>
      </c>
      <c r="F21" s="11" t="n">
        <v>0</v>
      </c>
      <c r="G21" s="5" t="s">
        <v>97</v>
      </c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36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99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23</v>
      </c>
      <c r="B4" s="4" t="s">
        <v>100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30</v>
      </c>
    </row>
    <row r="5" customFormat="false" ht="36" hidden="false" customHeight="true" outlineLevel="0" collapsed="false">
      <c r="A5" s="10" t="n">
        <v>1</v>
      </c>
      <c r="B5" s="5" t="s">
        <v>105</v>
      </c>
      <c r="C5" s="21" t="s">
        <v>62</v>
      </c>
      <c r="D5" s="5" t="s">
        <v>106</v>
      </c>
      <c r="E5" s="5" t="s">
        <v>107</v>
      </c>
      <c r="F5" s="5" t="s">
        <v>108</v>
      </c>
      <c r="G5" s="21" t="s">
        <v>109</v>
      </c>
    </row>
    <row r="6" customFormat="false" ht="36" hidden="false" customHeight="true" outlineLevel="0" collapsed="false">
      <c r="A6" s="13" t="n">
        <v>2</v>
      </c>
      <c r="B6" s="7" t="s">
        <v>110</v>
      </c>
      <c r="C6" s="22" t="s">
        <v>62</v>
      </c>
      <c r="D6" s="7" t="s">
        <v>106</v>
      </c>
      <c r="E6" s="7" t="s">
        <v>111</v>
      </c>
      <c r="F6" s="7" t="s">
        <v>108</v>
      </c>
      <c r="G6" s="22" t="s">
        <v>109</v>
      </c>
    </row>
    <row r="7" customFormat="false" ht="36" hidden="false" customHeight="true" outlineLevel="0" collapsed="false">
      <c r="A7" s="10" t="n">
        <v>3</v>
      </c>
      <c r="B7" s="5" t="s">
        <v>112</v>
      </c>
      <c r="C7" s="16" t="s">
        <v>80</v>
      </c>
      <c r="D7" s="5" t="s">
        <v>106</v>
      </c>
      <c r="E7" s="5" t="s">
        <v>113</v>
      </c>
      <c r="F7" s="5" t="s">
        <v>108</v>
      </c>
      <c r="G7" s="21" t="s">
        <v>109</v>
      </c>
    </row>
    <row r="8" customFormat="false" ht="36" hidden="false" customHeight="true" outlineLevel="0" collapsed="false">
      <c r="A8" s="13" t="n">
        <v>4</v>
      </c>
      <c r="B8" s="7" t="s">
        <v>114</v>
      </c>
      <c r="C8" s="17" t="s">
        <v>80</v>
      </c>
      <c r="D8" s="7" t="s">
        <v>106</v>
      </c>
      <c r="E8" s="7" t="s">
        <v>115</v>
      </c>
      <c r="F8" s="7" t="s">
        <v>108</v>
      </c>
      <c r="G8" s="22" t="s">
        <v>109</v>
      </c>
    </row>
    <row r="9" customFormat="false" ht="36" hidden="false" customHeight="true" outlineLevel="0" collapsed="false">
      <c r="A9" s="10" t="n">
        <v>5</v>
      </c>
      <c r="B9" s="5" t="s">
        <v>116</v>
      </c>
      <c r="C9" s="16" t="s">
        <v>80</v>
      </c>
      <c r="D9" s="5" t="s">
        <v>117</v>
      </c>
      <c r="E9" s="5" t="s">
        <v>118</v>
      </c>
      <c r="F9" s="5" t="s">
        <v>108</v>
      </c>
      <c r="G9" s="16" t="s">
        <v>119</v>
      </c>
    </row>
    <row r="10" customFormat="false" ht="36" hidden="false" customHeight="true" outlineLevel="0" collapsed="false">
      <c r="A10" s="13" t="n">
        <v>6</v>
      </c>
      <c r="B10" s="7" t="s">
        <v>120</v>
      </c>
      <c r="C10" s="15" t="s">
        <v>121</v>
      </c>
      <c r="D10" s="7" t="s">
        <v>117</v>
      </c>
      <c r="E10" s="7" t="s">
        <v>122</v>
      </c>
      <c r="F10" s="7" t="s">
        <v>108</v>
      </c>
      <c r="G10" s="15" t="s">
        <v>123</v>
      </c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36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125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23</v>
      </c>
      <c r="B4" s="4" t="s">
        <v>126</v>
      </c>
      <c r="C4" s="4" t="s">
        <v>127</v>
      </c>
      <c r="D4" s="4" t="s">
        <v>128</v>
      </c>
      <c r="E4" s="4" t="s">
        <v>129</v>
      </c>
      <c r="F4" s="4" t="s">
        <v>130</v>
      </c>
      <c r="G4" s="4" t="s">
        <v>59</v>
      </c>
    </row>
    <row r="5" customFormat="false" ht="36" hidden="false" customHeight="true" outlineLevel="0" collapsed="false">
      <c r="A5" s="10" t="n">
        <v>1</v>
      </c>
      <c r="B5" s="5" t="n">
        <v>2014</v>
      </c>
      <c r="C5" s="5" t="s">
        <v>131</v>
      </c>
      <c r="D5" s="5" t="s">
        <v>132</v>
      </c>
      <c r="E5" s="5" t="s">
        <v>133</v>
      </c>
      <c r="F5" s="5" t="s">
        <v>133</v>
      </c>
      <c r="G5" s="5" t="s">
        <v>134</v>
      </c>
    </row>
    <row r="6" customFormat="false" ht="36" hidden="false" customHeight="true" outlineLevel="0" collapsed="false">
      <c r="A6" s="13" t="n">
        <v>2</v>
      </c>
      <c r="B6" s="7" t="n">
        <v>2014</v>
      </c>
      <c r="C6" s="7" t="s">
        <v>135</v>
      </c>
      <c r="D6" s="7" t="s">
        <v>136</v>
      </c>
      <c r="E6" s="7" t="s">
        <v>133</v>
      </c>
      <c r="F6" s="7" t="s">
        <v>133</v>
      </c>
      <c r="G6" s="7" t="s">
        <v>137</v>
      </c>
    </row>
    <row r="7" customFormat="false" ht="36" hidden="false" customHeight="true" outlineLevel="0" collapsed="false">
      <c r="A7" s="10" t="n">
        <v>3</v>
      </c>
      <c r="B7" s="5" t="n">
        <v>2019</v>
      </c>
      <c r="C7" s="5" t="s">
        <v>138</v>
      </c>
      <c r="D7" s="5" t="s">
        <v>139</v>
      </c>
      <c r="E7" s="5" t="s">
        <v>133</v>
      </c>
      <c r="F7" s="5" t="s">
        <v>133</v>
      </c>
      <c r="G7" s="5" t="s">
        <v>140</v>
      </c>
    </row>
    <row r="8" customFormat="false" ht="36" hidden="false" customHeight="true" outlineLevel="0" collapsed="false">
      <c r="A8" s="13" t="n">
        <v>4</v>
      </c>
      <c r="B8" s="7" t="n">
        <v>2019</v>
      </c>
      <c r="C8" s="7" t="s">
        <v>141</v>
      </c>
      <c r="D8" s="7" t="s">
        <v>142</v>
      </c>
      <c r="E8" s="7" t="s">
        <v>133</v>
      </c>
      <c r="F8" s="7" t="s">
        <v>133</v>
      </c>
      <c r="G8" s="7" t="s">
        <v>143</v>
      </c>
    </row>
    <row r="9" customFormat="false" ht="36" hidden="false" customHeight="true" outlineLevel="0" collapsed="false">
      <c r="A9" s="10" t="n">
        <v>5</v>
      </c>
      <c r="B9" s="5" t="n">
        <v>2020</v>
      </c>
      <c r="C9" s="5" t="s">
        <v>144</v>
      </c>
      <c r="D9" s="5" t="s">
        <v>145</v>
      </c>
      <c r="E9" s="5" t="s">
        <v>146</v>
      </c>
      <c r="F9" s="5" t="s">
        <v>147</v>
      </c>
      <c r="G9" s="5"/>
    </row>
    <row r="10" customFormat="false" ht="36" hidden="false" customHeight="true" outlineLevel="0" collapsed="false">
      <c r="A10" s="13" t="n">
        <v>6</v>
      </c>
      <c r="B10" s="7" t="n">
        <v>2021</v>
      </c>
      <c r="C10" s="7" t="s">
        <v>148</v>
      </c>
      <c r="D10" s="7" t="s">
        <v>149</v>
      </c>
      <c r="E10" s="7" t="s">
        <v>147</v>
      </c>
      <c r="F10" s="7" t="s">
        <v>147</v>
      </c>
      <c r="G10" s="7" t="s">
        <v>150</v>
      </c>
    </row>
    <row r="11" customFormat="false" ht="36" hidden="false" customHeight="true" outlineLevel="0" collapsed="false">
      <c r="A11" s="10" t="n">
        <v>7</v>
      </c>
      <c r="B11" s="5" t="n">
        <v>2024</v>
      </c>
      <c r="C11" s="5" t="s">
        <v>151</v>
      </c>
      <c r="D11" s="5" t="s">
        <v>152</v>
      </c>
      <c r="E11" s="5" t="s">
        <v>146</v>
      </c>
      <c r="F11" s="5" t="s">
        <v>147</v>
      </c>
      <c r="G11" s="5" t="s">
        <v>153</v>
      </c>
    </row>
    <row r="12" customFormat="false" ht="36" hidden="false" customHeight="true" outlineLevel="0" collapsed="false">
      <c r="A12" s="13" t="n">
        <v>8</v>
      </c>
      <c r="B12" s="7"/>
      <c r="C12" s="7" t="s">
        <v>154</v>
      </c>
      <c r="D12" s="7"/>
      <c r="E12" s="7"/>
      <c r="F12" s="7"/>
      <c r="G12" s="7"/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2026-06-04T18:12:48Z</dcterms:created>
  <dc:creator>openpyxl</dc:creator>
  <dc:description/>
  <dc:language>en-US</dc:language>
  <cp:lastModifiedBy/>
  <dcterms:modified xsi:type="dcterms:W3CDTF">2026-06-04T18:12:48Z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