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kerm\OneDrive\Escritorio\MyLife\Projectes\PAP\portafoli_complet\portafoli\tfm_quantica\"/>
    </mc:Choice>
  </mc:AlternateContent>
  <xr:revisionPtr revIDLastSave="0" documentId="13_ncr:1_{07632FF1-2059-49C5-A5E9-EC5A49E28C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sum" sheetId="1" r:id="rId1"/>
    <sheet name="Capítols" sheetId="2" r:id="rId2"/>
    <sheet name="Tasques" sheetId="3" r:id="rId3"/>
    <sheet name="Riscos" sheetId="4" r:id="rId4"/>
    <sheet name="Bibliografia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E12" i="2"/>
  <c r="D12" i="2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<sst xmlns="http://schemas.openxmlformats.org/spreadsheetml/2006/main" count="229" uniqueCount="144">
  <si>
    <t>PLM · TFM: Optimització Quàntica Energètica</t>
  </si>
  <si>
    <t>Tesi de fi de màster | Algorismes QAOA/VQE aplicats a dispatch econòmic</t>
  </si>
  <si>
    <t xml:space="preserve">  INDICADORS GLOBALS</t>
  </si>
  <si>
    <t>Indicador</t>
  </si>
  <si>
    <t>Valor</t>
  </si>
  <si>
    <t>Unitat</t>
  </si>
  <si>
    <t>Nota</t>
  </si>
  <si>
    <t>Progrés global tesi</t>
  </si>
  <si>
    <t>%</t>
  </si>
  <si>
    <t>Mitjana de capítols</t>
  </si>
  <si>
    <t>Capítols completats</t>
  </si>
  <si>
    <t>caps.</t>
  </si>
  <si>
    <t>Capítols en progrés</t>
  </si>
  <si>
    <t>Tasques completades</t>
  </si>
  <si>
    <t>ud.</t>
  </si>
  <si>
    <t>Tasques pendents</t>
  </si>
  <si>
    <t>Referències bibliogràfiques</t>
  </si>
  <si>
    <t>refs.</t>
  </si>
  <si>
    <t>Riscos alts oberts</t>
  </si>
  <si>
    <t xml:space="preserve">  NOTES GENERALS / DECISIONS METODOLÒGIQUES</t>
  </si>
  <si>
    <t>Decisions metodològiques, canvis d'enfocament, observacions del director de tesi.</t>
  </si>
  <si>
    <t>Capítols de la Tesi</t>
  </si>
  <si>
    <t xml:space="preserve">  ESTAT DELS CAPÍTOLS</t>
  </si>
  <si>
    <t>#</t>
  </si>
  <si>
    <t>Títol del capítol</t>
  </si>
  <si>
    <t>Contingut principal</t>
  </si>
  <si>
    <t>Pàgines est.</t>
  </si>
  <si>
    <t>Pàgines reals</t>
  </si>
  <si>
    <t>% Complet</t>
  </si>
  <si>
    <t>Barra progrés</t>
  </si>
  <si>
    <t>Estat</t>
  </si>
  <si>
    <t>Introducció i motivació</t>
  </si>
  <si>
    <t>Context energètic, justificació quàntica, objectius</t>
  </si>
  <si>
    <t>Completat</t>
  </si>
  <si>
    <t>Fonaments de computació quàntica</t>
  </si>
  <si>
    <t>Qubits, portes quàntiques, entrellaçament, algoritmes bàsics</t>
  </si>
  <si>
    <t>Estat de l'art: optimització quàntica</t>
  </si>
  <si>
    <t>QAOA, VQE, Quantum Annealing aplicats a energia</t>
  </si>
  <si>
    <t>En progrés</t>
  </si>
  <si>
    <t>Modelització del problema energètic</t>
  </si>
  <si>
    <t>Formulació QUBO/Ising del dispatch econòmic</t>
  </si>
  <si>
    <t>Codi Python/Qiskit, simulació clàssica i hardware</t>
  </si>
  <si>
    <t>░░░░░░░░░░  0%</t>
  </si>
  <si>
    <t>Pendent</t>
  </si>
  <si>
    <t>Resultats i discussió</t>
  </si>
  <si>
    <t>Comparativa clàssic vs quàntic, qualitat solucions</t>
  </si>
  <si>
    <t>Conclusions i treballs futurs</t>
  </si>
  <si>
    <t>Limitacions hardware actual, perspectiva 5 anys</t>
  </si>
  <si>
    <t>TOTAL</t>
  </si>
  <si>
    <t>Tasques · TFM Quàntic</t>
  </si>
  <si>
    <t xml:space="preserve">  LLISTA DE TASQUES DE RECERCA</t>
  </si>
  <si>
    <t>Tasca</t>
  </si>
  <si>
    <t>Capítol associat</t>
  </si>
  <si>
    <t>Prioritat</t>
  </si>
  <si>
    <t>% Fet</t>
  </si>
  <si>
    <t>Notes</t>
  </si>
  <si>
    <t>Revisió bibliogràfica inicial</t>
  </si>
  <si>
    <t>Transversal</t>
  </si>
  <si>
    <t>Alta</t>
  </si>
  <si>
    <t>Configurar entorn Qiskit (Python venv)</t>
  </si>
  <si>
    <t>Implementació</t>
  </si>
  <si>
    <t>Redactar capítol 1 (Introducció)</t>
  </si>
  <si>
    <t>Cap. 1</t>
  </si>
  <si>
    <t>Redactar capítol 2 (Fonaments)</t>
  </si>
  <si>
    <t>Cap. 2</t>
  </si>
  <si>
    <t>Acabar capítol 3 (Estat de l'art)</t>
  </si>
  <si>
    <t>Cap. 3</t>
  </si>
  <si>
    <t>Formular problema com a QUBO</t>
  </si>
  <si>
    <t>Cap. 4</t>
  </si>
  <si>
    <t>Transformació QUBO → Ising Hamiltonian</t>
  </si>
  <si>
    <t>Implementar QAOA amb Qiskit</t>
  </si>
  <si>
    <t>Cap. 5</t>
  </si>
  <si>
    <t>Implementar VQE amb Qiskit</t>
  </si>
  <si>
    <t>Mitja</t>
  </si>
  <si>
    <t>Executar simulació clàssica (qasm_simulator)</t>
  </si>
  <si>
    <t>Accedir a IBM Quantum i executar en hardware</t>
  </si>
  <si>
    <t>Comparar resultats quàntic vs solver clàssic</t>
  </si>
  <si>
    <t>Cap. 6</t>
  </si>
  <si>
    <t>Redactar capítol 6 (Resultats)</t>
  </si>
  <si>
    <t>Redactar capítol 7 (Conclusions)</t>
  </si>
  <si>
    <t>Cap. 7</t>
  </si>
  <si>
    <t>Revisió global del document</t>
  </si>
  <si>
    <t>Preparar presentació de defensa</t>
  </si>
  <si>
    <t>Defensa</t>
  </si>
  <si>
    <t>Lliurament formal de la tesi</t>
  </si>
  <si>
    <t>Riscos · TFM Quàntic</t>
  </si>
  <si>
    <t xml:space="preserve">  REGISTRE DE RISCOS</t>
  </si>
  <si>
    <t>Risc</t>
  </si>
  <si>
    <t>Probabilitat</t>
  </si>
  <si>
    <t>Impacte</t>
  </si>
  <si>
    <t>Mesures de mitigació</t>
  </si>
  <si>
    <t>Responsable</t>
  </si>
  <si>
    <t>Limitació hardware quàntic (soroll, pocs qubits)</t>
  </si>
  <si>
    <t>Alt</t>
  </si>
  <si>
    <t>Usar simuladors clàssics com entorn principal de validació</t>
  </si>
  <si>
    <t>Estudiant</t>
  </si>
  <si>
    <t>Obert</t>
  </si>
  <si>
    <t>Incompliment del termini de lliurament</t>
  </si>
  <si>
    <t>Pla de treball setmanal; reunions quinzenals amb director</t>
  </si>
  <si>
    <t>Dificultat de convergència algorismes variacionals (QAOA)</t>
  </si>
  <si>
    <t>Testar múltiples ansatzes i paràmetres; comparar benchmarks</t>
  </si>
  <si>
    <t>Formulació QUBO incorrecta o mal escalada</t>
  </si>
  <si>
    <t>Validar amb casos petits resolts analíticament</t>
  </si>
  <si>
    <t>Accés limitat a IBM Quantum (cua llarga)</t>
  </si>
  <si>
    <t>Mig</t>
  </si>
  <si>
    <t>Prioritzar simulació; usar hardware com a validació puntual</t>
  </si>
  <si>
    <t>Acceptat</t>
  </si>
  <si>
    <t>Canvis en l'API de Qiskit (v0.x → v1.x)</t>
  </si>
  <si>
    <t>Baixa</t>
  </si>
  <si>
    <t>Fixar versió en requirements.txt; documentar la versió usada</t>
  </si>
  <si>
    <t>Tancat</t>
  </si>
  <si>
    <t>Bibliografia · TFM Quàntic</t>
  </si>
  <si>
    <t xml:space="preserve">  REGISTRE BIBLIOGRÀFIC</t>
  </si>
  <si>
    <t>Any</t>
  </si>
  <si>
    <t>Referència completa</t>
  </si>
  <si>
    <t>Temàtica</t>
  </si>
  <si>
    <t>Llegit</t>
  </si>
  <si>
    <t>Citat al TFM</t>
  </si>
  <si>
    <t>Farhi, E., Goldstone, J., &amp; Gutmann, S. A Quantum Approximate Optimization Algorithm. arXiv:1411.4028.</t>
  </si>
  <si>
    <t>QAOA / Algorismes</t>
  </si>
  <si>
    <t>Sí</t>
  </si>
  <si>
    <t>Referència fonamental QAOA</t>
  </si>
  <si>
    <t>Peruzzo, A. et al. A variational eigenvalue solver on a photonic quantum processor. Nature Communications, 5, 4213.</t>
  </si>
  <si>
    <t>VQE</t>
  </si>
  <si>
    <t>Referència fonamental VQE</t>
  </si>
  <si>
    <t>Ajagekar, A., &amp; You, F. Quantum computing for energy systems optimization. Energy, 179, 76-89.</t>
  </si>
  <si>
    <t>Energia + Quàntica</t>
  </si>
  <si>
    <t>Cas d'ús energètic directament rellevant</t>
  </si>
  <si>
    <t>Glover, F. et al. Quantum Bridge Analytics I: A Tutorial on Formulating and Using QUBO Models. 4OR, 17(4), 335-371.</t>
  </si>
  <si>
    <t>QUBO</t>
  </si>
  <si>
    <t>Essencial per formular el problema</t>
  </si>
  <si>
    <t>Moll, N. et al. Quantum optimization using variational algorithms on near-term quantum devices. Quantum Science and Technology, 3, 030503.</t>
  </si>
  <si>
    <t>VQA general</t>
  </si>
  <si>
    <t>Parcial</t>
  </si>
  <si>
    <t>No</t>
  </si>
  <si>
    <t>Herman, D. et al. A Survey of Quantum Computing for Finance. arXiv:2201.02773.</t>
  </si>
  <si>
    <t>Optimització combinatòria</t>
  </si>
  <si>
    <t>Útil per context general</t>
  </si>
  <si>
    <t>IBM Quantum Documentation – Qiskit 1.x. docs.quantum.ibm.com</t>
  </si>
  <si>
    <t>Qiskit</t>
  </si>
  <si>
    <t>Consulta contínua</t>
  </si>
  <si>
    <t>Afegeix aquí noves referències...</t>
  </si>
  <si>
    <t>Implementació i simulació</t>
  </si>
  <si>
    <t>░░░░░░░░░░ 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</si>
</sst>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%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color rgb="FF555555"/>
      <name val="Arial"/>
      <family val="2"/>
    </font>
    <font>
      <b/>
      <sz val="10"/>
      <color rgb="FF1E8449"/>
      <name val="Arial"/>
      <family val="2"/>
    </font>
    <font>
      <b/>
      <sz val="10"/>
      <color rgb="FFB7950B"/>
      <name val="Arial"/>
      <family val="2"/>
    </font>
    <font>
      <b/>
      <sz val="10"/>
      <color rgb="FF717D7E"/>
      <name val="Arial"/>
      <family val="2"/>
    </font>
    <font>
      <b/>
      <sz val="10"/>
      <name val="Arial"/>
      <family val="2"/>
    </font>
    <font>
      <b/>
      <sz val="10"/>
      <color rgb="FF922B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5D6D7E"/>
        <bgColor rgb="FF717D7E"/>
      </patternFill>
    </fill>
    <fill>
      <patternFill patternType="solid">
        <fgColor rgb="FFEBF5FB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5E8F0"/>
        <bgColor rgb="FFEBF5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6" borderId="1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0C0C0"/>
      <rgbColor rgb="FF717D7E"/>
      <rgbColor rgb="FF9999FF"/>
      <rgbColor rgb="FF993366"/>
      <rgbColor rgb="FFF8F9FA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B4F72"/>
      <rgbColor rgb="FF1E8449"/>
      <rgbColor rgb="FF003300"/>
      <rgbColor rgb="FF333300"/>
      <rgbColor rgb="FF922B21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pane ySplit="3" topLeftCell="A4" activePane="bottomLeft" state="frozen"/>
      <selection pane="bottomLeft" activeCell="B5" sqref="B5"/>
    </sheetView>
  </sheetViews>
  <sheetFormatPr defaultColWidth="8.7109375" defaultRowHeight="15" x14ac:dyDescent="0.25"/>
  <cols>
    <col min="1" max="1" width="22" customWidth="1"/>
    <col min="2" max="2" width="18" customWidth="1"/>
    <col min="3" max="4" width="14" customWidth="1"/>
    <col min="5" max="5" width="12" customWidth="1"/>
    <col min="6" max="7" width="16" customWidth="1"/>
    <col min="8" max="8" width="18" customWidth="1"/>
  </cols>
  <sheetData>
    <row r="1" spans="1:8" ht="36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ht="18" customHeight="1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5" t="s">
        <v>3</v>
      </c>
      <c r="B4" s="5" t="s">
        <v>4</v>
      </c>
      <c r="C4" s="5" t="s">
        <v>5</v>
      </c>
      <c r="D4" s="5" t="s">
        <v>6</v>
      </c>
    </row>
    <row r="5" spans="1:8" ht="25.5" x14ac:dyDescent="0.25">
      <c r="A5" s="6" t="s">
        <v>7</v>
      </c>
      <c r="B5" s="7">
        <f>IFERROR(AVERAGE(Capítols!F4:F10),0)</f>
        <v>0.83333333333333337</v>
      </c>
      <c r="C5" s="6" t="s">
        <v>8</v>
      </c>
      <c r="D5" s="6" t="s">
        <v>9</v>
      </c>
    </row>
    <row r="6" spans="1:8" x14ac:dyDescent="0.25">
      <c r="A6" s="8" t="s">
        <v>10</v>
      </c>
      <c r="B6" s="9">
        <f>COUNTIF(Capítols!F4:F10,"Completat")</f>
        <v>0</v>
      </c>
      <c r="C6" s="8" t="s">
        <v>11</v>
      </c>
      <c r="D6" s="8"/>
    </row>
    <row r="7" spans="1:8" x14ac:dyDescent="0.25">
      <c r="A7" s="6" t="s">
        <v>12</v>
      </c>
      <c r="B7" s="7">
        <f>COUNTIF(Capítols!F4:F10,"En progrés")</f>
        <v>0</v>
      </c>
      <c r="C7" s="6" t="s">
        <v>11</v>
      </c>
      <c r="D7" s="6"/>
    </row>
    <row r="8" spans="1:8" x14ac:dyDescent="0.25">
      <c r="A8" s="8" t="s">
        <v>13</v>
      </c>
      <c r="B8" s="9">
        <f>COUNTIF(Tasques!D4:D25,"Completat")</f>
        <v>0</v>
      </c>
      <c r="C8" s="8" t="s">
        <v>14</v>
      </c>
      <c r="D8" s="8"/>
    </row>
    <row r="9" spans="1:8" x14ac:dyDescent="0.25">
      <c r="A9" s="6" t="s">
        <v>15</v>
      </c>
      <c r="B9" s="7">
        <f>COUNTIF(Tasques!D4:D25,"Pendent")</f>
        <v>0</v>
      </c>
      <c r="C9" s="6" t="s">
        <v>14</v>
      </c>
      <c r="D9" s="6"/>
    </row>
    <row r="10" spans="1:8" ht="25.5" x14ac:dyDescent="0.25">
      <c r="A10" s="8" t="s">
        <v>16</v>
      </c>
      <c r="B10" s="9">
        <f>COUNTA(Bibliografia!B4:B50)-COUNTBLANK(Bibliografia!B4:B50)</f>
        <v>-31</v>
      </c>
      <c r="C10" s="8" t="s">
        <v>17</v>
      </c>
      <c r="D10" s="8"/>
    </row>
    <row r="11" spans="1:8" x14ac:dyDescent="0.25">
      <c r="A11" s="6" t="s">
        <v>18</v>
      </c>
      <c r="B11" s="7">
        <f>COUNTIFS(Riscos!C4:C15,"Alta",Riscos!G4:G15,"Obert")</f>
        <v>2</v>
      </c>
      <c r="C11" s="6" t="s">
        <v>14</v>
      </c>
      <c r="D11" s="6"/>
    </row>
    <row r="13" spans="1:8" ht="18" customHeight="1" x14ac:dyDescent="0.25">
      <c r="A13" s="2" t="s">
        <v>19</v>
      </c>
      <c r="B13" s="2"/>
      <c r="C13" s="2"/>
      <c r="D13" s="2"/>
      <c r="E13" s="2"/>
      <c r="F13" s="2"/>
      <c r="G13" s="2"/>
      <c r="H13" s="2"/>
    </row>
    <row r="14" spans="1:8" ht="15" customHeight="1" x14ac:dyDescent="0.25">
      <c r="A14" s="1" t="s">
        <v>20</v>
      </c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</sheetData>
  <mergeCells count="5">
    <mergeCell ref="A1:H1"/>
    <mergeCell ref="A2:H2"/>
    <mergeCell ref="A3:H3"/>
    <mergeCell ref="A13:H13"/>
    <mergeCell ref="A14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>
      <pane ySplit="3" topLeftCell="A4" activePane="bottomLeft" state="frozen"/>
      <selection pane="bottomLeft" activeCell="E5" sqref="E5"/>
    </sheetView>
  </sheetViews>
  <sheetFormatPr defaultColWidth="8.7109375" defaultRowHeight="15" x14ac:dyDescent="0.25"/>
  <cols>
    <col min="1" max="1" width="4" customWidth="1"/>
    <col min="2" max="2" width="32" customWidth="1"/>
    <col min="3" max="3" width="36" customWidth="1"/>
    <col min="4" max="5" width="12" customWidth="1"/>
    <col min="6" max="6" width="16" customWidth="1"/>
    <col min="7" max="7" width="22" customWidth="1"/>
    <col min="8" max="8" width="14" customWidth="1"/>
  </cols>
  <sheetData>
    <row r="1" spans="1:8" ht="36" customHeight="1" x14ac:dyDescent="0.25">
      <c r="A1" s="4" t="s">
        <v>21</v>
      </c>
      <c r="B1" s="4"/>
      <c r="C1" s="4"/>
      <c r="D1" s="4"/>
      <c r="E1" s="4"/>
      <c r="F1" s="4"/>
      <c r="G1" s="4"/>
      <c r="H1" s="4"/>
    </row>
    <row r="2" spans="1:8" ht="19.5" customHeight="1" x14ac:dyDescent="0.25">
      <c r="A2" s="3"/>
      <c r="B2" s="3"/>
      <c r="C2" s="3"/>
      <c r="D2" s="3"/>
      <c r="E2" s="3"/>
      <c r="F2" s="3"/>
      <c r="G2" s="3"/>
      <c r="H2" s="3"/>
    </row>
    <row r="3" spans="1:8" ht="18" customHeight="1" x14ac:dyDescent="0.25">
      <c r="A3" s="2" t="s">
        <v>22</v>
      </c>
      <c r="B3" s="2"/>
      <c r="C3" s="2"/>
      <c r="D3" s="2"/>
      <c r="E3" s="2"/>
      <c r="F3" s="2"/>
      <c r="G3" s="2"/>
      <c r="H3" s="2"/>
    </row>
    <row r="4" spans="1:8" ht="30" customHeight="1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</row>
    <row r="5" spans="1:8" ht="39.75" customHeight="1" x14ac:dyDescent="0.25">
      <c r="A5" s="10">
        <v>1</v>
      </c>
      <c r="B5" s="6" t="s">
        <v>31</v>
      </c>
      <c r="C5" s="6" t="s">
        <v>32</v>
      </c>
      <c r="D5" s="6">
        <v>5</v>
      </c>
      <c r="E5" s="6"/>
      <c r="F5" s="11">
        <v>5</v>
      </c>
      <c r="G5" s="23" t="s">
        <v>143</v>
      </c>
      <c r="H5" s="18" t="s">
        <v>43</v>
      </c>
    </row>
    <row r="6" spans="1:8" ht="39.75" customHeight="1" x14ac:dyDescent="0.25">
      <c r="A6" s="13">
        <v>2</v>
      </c>
      <c r="B6" s="8" t="s">
        <v>34</v>
      </c>
      <c r="C6" s="8" t="s">
        <v>35</v>
      </c>
      <c r="D6" s="8">
        <v>5</v>
      </c>
      <c r="E6" s="8"/>
      <c r="F6" s="14">
        <v>0</v>
      </c>
      <c r="G6" s="8" t="s">
        <v>42</v>
      </c>
      <c r="H6" s="19" t="s">
        <v>43</v>
      </c>
    </row>
    <row r="7" spans="1:8" ht="39.75" customHeight="1" x14ac:dyDescent="0.25">
      <c r="A7" s="10">
        <v>3</v>
      </c>
      <c r="B7" s="6" t="s">
        <v>36</v>
      </c>
      <c r="C7" s="6" t="s">
        <v>37</v>
      </c>
      <c r="D7" s="6">
        <v>5</v>
      </c>
      <c r="E7" s="6"/>
      <c r="F7" s="11">
        <v>0</v>
      </c>
      <c r="G7" s="6" t="s">
        <v>42</v>
      </c>
      <c r="H7" s="18" t="s">
        <v>43</v>
      </c>
    </row>
    <row r="8" spans="1:8" ht="39.75" customHeight="1" x14ac:dyDescent="0.25">
      <c r="A8" s="13">
        <v>4</v>
      </c>
      <c r="B8" s="8" t="s">
        <v>39</v>
      </c>
      <c r="C8" s="8" t="s">
        <v>40</v>
      </c>
      <c r="D8" s="8">
        <v>15</v>
      </c>
      <c r="E8" s="8"/>
      <c r="F8" s="14">
        <v>0</v>
      </c>
      <c r="G8" s="8" t="s">
        <v>42</v>
      </c>
      <c r="H8" s="19" t="s">
        <v>43</v>
      </c>
    </row>
    <row r="9" spans="1:8" ht="39.75" customHeight="1" x14ac:dyDescent="0.25">
      <c r="A9" s="10">
        <v>5</v>
      </c>
      <c r="B9" s="23" t="s">
        <v>142</v>
      </c>
      <c r="C9" s="6" t="s">
        <v>41</v>
      </c>
      <c r="D9" s="6">
        <v>20</v>
      </c>
      <c r="E9" s="6"/>
      <c r="F9" s="11">
        <v>0</v>
      </c>
      <c r="G9" s="6" t="s">
        <v>42</v>
      </c>
      <c r="H9" s="18" t="s">
        <v>43</v>
      </c>
    </row>
    <row r="10" spans="1:8" ht="39.75" customHeight="1" x14ac:dyDescent="0.25">
      <c r="A10" s="13">
        <v>6</v>
      </c>
      <c r="B10" s="8" t="s">
        <v>44</v>
      </c>
      <c r="C10" s="8" t="s">
        <v>45</v>
      </c>
      <c r="D10" s="8">
        <v>15</v>
      </c>
      <c r="E10" s="8"/>
      <c r="F10" s="14">
        <v>0</v>
      </c>
      <c r="G10" s="8" t="s">
        <v>42</v>
      </c>
      <c r="H10" s="19" t="s">
        <v>43</v>
      </c>
    </row>
    <row r="11" spans="1:8" ht="39.75" customHeight="1" x14ac:dyDescent="0.25">
      <c r="A11" s="10">
        <v>7</v>
      </c>
      <c r="B11" s="6" t="s">
        <v>46</v>
      </c>
      <c r="C11" s="6" t="s">
        <v>47</v>
      </c>
      <c r="D11" s="6">
        <v>8</v>
      </c>
      <c r="E11" s="6"/>
      <c r="F11" s="11">
        <v>0</v>
      </c>
      <c r="G11" s="6" t="s">
        <v>42</v>
      </c>
      <c r="H11" s="18" t="s">
        <v>43</v>
      </c>
    </row>
    <row r="12" spans="1:8" x14ac:dyDescent="0.25">
      <c r="A12" s="20"/>
      <c r="B12" s="20" t="s">
        <v>48</v>
      </c>
      <c r="C12" s="20"/>
      <c r="D12" s="20">
        <f>SUM(D5:D11)</f>
        <v>73</v>
      </c>
      <c r="E12" s="20">
        <f>SUM(E5:E11)</f>
        <v>0</v>
      </c>
      <c r="F12" s="20"/>
      <c r="G12" s="20"/>
      <c r="H12" s="20"/>
    </row>
  </sheetData>
  <mergeCells count="3">
    <mergeCell ref="A1:H1"/>
    <mergeCell ref="A2:H2"/>
    <mergeCell ref="A3:H3"/>
  </mergeCells>
  <conditionalFormatting sqref="G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{7AE8112A-D2D5-4C93-9886-5D72D53338A8}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E8112A-D2D5-4C93-9886-5D72D5333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Normal="100" workbookViewId="0">
      <pane ySplit="3" topLeftCell="A4" activePane="bottomLeft" state="frozen"/>
      <selection pane="bottomLeft" activeCell="F6" sqref="F6"/>
    </sheetView>
  </sheetViews>
  <sheetFormatPr defaultColWidth="8.7109375" defaultRowHeight="15" x14ac:dyDescent="0.25"/>
  <cols>
    <col min="1" max="1" width="4" customWidth="1"/>
    <col min="2" max="2" width="38" customWidth="1"/>
    <col min="3" max="3" width="20" customWidth="1"/>
    <col min="4" max="5" width="14" customWidth="1"/>
    <col min="6" max="6" width="10" customWidth="1"/>
    <col min="7" max="7" width="28" customWidth="1"/>
  </cols>
  <sheetData>
    <row r="1" spans="1:8" ht="36" customHeight="1" x14ac:dyDescent="0.25">
      <c r="A1" s="4" t="s">
        <v>49</v>
      </c>
      <c r="B1" s="4"/>
      <c r="C1" s="4"/>
      <c r="D1" s="4"/>
      <c r="E1" s="4"/>
      <c r="F1" s="4"/>
      <c r="G1" s="4"/>
      <c r="H1" s="4"/>
    </row>
    <row r="2" spans="1:8" ht="19.5" customHeight="1" x14ac:dyDescent="0.25">
      <c r="A2" s="3"/>
      <c r="B2" s="3"/>
      <c r="C2" s="3"/>
      <c r="D2" s="3"/>
      <c r="E2" s="3"/>
      <c r="F2" s="3"/>
      <c r="G2" s="3"/>
      <c r="H2" s="3"/>
    </row>
    <row r="3" spans="1:8" ht="18" customHeight="1" x14ac:dyDescent="0.25">
      <c r="A3" s="2" t="s">
        <v>50</v>
      </c>
      <c r="B3" s="2"/>
      <c r="C3" s="2"/>
      <c r="D3" s="2"/>
      <c r="E3" s="2"/>
      <c r="F3" s="2"/>
      <c r="G3" s="2"/>
    </row>
    <row r="4" spans="1:8" x14ac:dyDescent="0.25">
      <c r="A4" s="5" t="s">
        <v>23</v>
      </c>
      <c r="B4" s="5" t="s">
        <v>51</v>
      </c>
      <c r="C4" s="5" t="s">
        <v>52</v>
      </c>
      <c r="D4" s="5" t="s">
        <v>53</v>
      </c>
      <c r="E4" s="5" t="s">
        <v>30</v>
      </c>
      <c r="F4" s="5" t="s">
        <v>54</v>
      </c>
      <c r="G4" s="5" t="s">
        <v>55</v>
      </c>
    </row>
    <row r="5" spans="1:8" x14ac:dyDescent="0.25">
      <c r="A5" s="10">
        <v>1</v>
      </c>
      <c r="B5" s="6" t="s">
        <v>56</v>
      </c>
      <c r="C5" s="6" t="s">
        <v>57</v>
      </c>
      <c r="D5" s="21" t="s">
        <v>58</v>
      </c>
      <c r="E5" s="12" t="s">
        <v>33</v>
      </c>
      <c r="F5" s="11">
        <v>15</v>
      </c>
      <c r="G5" s="6"/>
    </row>
    <row r="6" spans="1:8" x14ac:dyDescent="0.25">
      <c r="A6" s="13">
        <v>2</v>
      </c>
      <c r="B6" s="8" t="s">
        <v>59</v>
      </c>
      <c r="C6" s="8" t="s">
        <v>60</v>
      </c>
      <c r="D6" s="22" t="s">
        <v>58</v>
      </c>
      <c r="E6" s="15" t="s">
        <v>33</v>
      </c>
      <c r="F6" s="14">
        <v>0</v>
      </c>
      <c r="G6" s="8"/>
    </row>
    <row r="7" spans="1:8" x14ac:dyDescent="0.25">
      <c r="A7" s="10">
        <v>3</v>
      </c>
      <c r="B7" s="6" t="s">
        <v>61</v>
      </c>
      <c r="C7" s="6" t="s">
        <v>62</v>
      </c>
      <c r="D7" s="21" t="s">
        <v>58</v>
      </c>
      <c r="E7" s="12" t="s">
        <v>33</v>
      </c>
      <c r="F7" s="11">
        <v>0</v>
      </c>
      <c r="G7" s="6"/>
    </row>
    <row r="8" spans="1:8" x14ac:dyDescent="0.25">
      <c r="A8" s="13">
        <v>4</v>
      </c>
      <c r="B8" s="8" t="s">
        <v>63</v>
      </c>
      <c r="C8" s="8" t="s">
        <v>64</v>
      </c>
      <c r="D8" s="22" t="s">
        <v>58</v>
      </c>
      <c r="E8" s="15" t="s">
        <v>33</v>
      </c>
      <c r="F8" s="14">
        <v>0</v>
      </c>
      <c r="G8" s="8"/>
    </row>
    <row r="9" spans="1:8" x14ac:dyDescent="0.25">
      <c r="A9" s="10">
        <v>5</v>
      </c>
      <c r="B9" s="6" t="s">
        <v>65</v>
      </c>
      <c r="C9" s="6" t="s">
        <v>66</v>
      </c>
      <c r="D9" s="21" t="s">
        <v>58</v>
      </c>
      <c r="E9" s="16" t="s">
        <v>38</v>
      </c>
      <c r="F9" s="11">
        <v>0</v>
      </c>
      <c r="G9" s="6"/>
    </row>
    <row r="10" spans="1:8" x14ac:dyDescent="0.25">
      <c r="A10" s="13">
        <v>6</v>
      </c>
      <c r="B10" s="8" t="s">
        <v>67</v>
      </c>
      <c r="C10" s="8" t="s">
        <v>68</v>
      </c>
      <c r="D10" s="22" t="s">
        <v>58</v>
      </c>
      <c r="E10" s="17" t="s">
        <v>38</v>
      </c>
      <c r="F10" s="14">
        <v>0</v>
      </c>
      <c r="G10" s="8"/>
    </row>
    <row r="11" spans="1:8" x14ac:dyDescent="0.25">
      <c r="A11" s="10">
        <v>7</v>
      </c>
      <c r="B11" s="6" t="s">
        <v>69</v>
      </c>
      <c r="C11" s="6" t="s">
        <v>68</v>
      </c>
      <c r="D11" s="21" t="s">
        <v>58</v>
      </c>
      <c r="E11" s="18" t="s">
        <v>43</v>
      </c>
      <c r="F11" s="11">
        <v>0</v>
      </c>
      <c r="G11" s="6"/>
    </row>
    <row r="12" spans="1:8" x14ac:dyDescent="0.25">
      <c r="A12" s="13">
        <v>8</v>
      </c>
      <c r="B12" s="8" t="s">
        <v>70</v>
      </c>
      <c r="C12" s="8" t="s">
        <v>71</v>
      </c>
      <c r="D12" s="22" t="s">
        <v>58</v>
      </c>
      <c r="E12" s="19" t="s">
        <v>43</v>
      </c>
      <c r="F12" s="14">
        <v>0</v>
      </c>
      <c r="G12" s="8"/>
    </row>
    <row r="13" spans="1:8" x14ac:dyDescent="0.25">
      <c r="A13" s="10">
        <v>9</v>
      </c>
      <c r="B13" s="6" t="s">
        <v>72</v>
      </c>
      <c r="C13" s="6" t="s">
        <v>71</v>
      </c>
      <c r="D13" s="16" t="s">
        <v>73</v>
      </c>
      <c r="E13" s="18" t="s">
        <v>43</v>
      </c>
      <c r="F13" s="11">
        <v>0</v>
      </c>
      <c r="G13" s="6"/>
    </row>
    <row r="14" spans="1:8" ht="25.5" x14ac:dyDescent="0.25">
      <c r="A14" s="13">
        <v>10</v>
      </c>
      <c r="B14" s="8" t="s">
        <v>74</v>
      </c>
      <c r="C14" s="8" t="s">
        <v>71</v>
      </c>
      <c r="D14" s="22" t="s">
        <v>58</v>
      </c>
      <c r="E14" s="19" t="s">
        <v>43</v>
      </c>
      <c r="F14" s="14">
        <v>0</v>
      </c>
      <c r="G14" s="8"/>
    </row>
    <row r="15" spans="1:8" ht="25.5" x14ac:dyDescent="0.25">
      <c r="A15" s="10">
        <v>11</v>
      </c>
      <c r="B15" s="6" t="s">
        <v>75</v>
      </c>
      <c r="C15" s="6" t="s">
        <v>71</v>
      </c>
      <c r="D15" s="16" t="s">
        <v>73</v>
      </c>
      <c r="E15" s="18" t="s">
        <v>43</v>
      </c>
      <c r="F15" s="11">
        <v>0</v>
      </c>
      <c r="G15" s="6"/>
    </row>
    <row r="16" spans="1:8" ht="25.5" x14ac:dyDescent="0.25">
      <c r="A16" s="13">
        <v>12</v>
      </c>
      <c r="B16" s="8" t="s">
        <v>76</v>
      </c>
      <c r="C16" s="8" t="s">
        <v>77</v>
      </c>
      <c r="D16" s="22" t="s">
        <v>58</v>
      </c>
      <c r="E16" s="19" t="s">
        <v>43</v>
      </c>
      <c r="F16" s="14">
        <v>0</v>
      </c>
      <c r="G16" s="8"/>
    </row>
    <row r="17" spans="1:7" x14ac:dyDescent="0.25">
      <c r="A17" s="10">
        <v>13</v>
      </c>
      <c r="B17" s="6" t="s">
        <v>78</v>
      </c>
      <c r="C17" s="6" t="s">
        <v>77</v>
      </c>
      <c r="D17" s="21" t="s">
        <v>58</v>
      </c>
      <c r="E17" s="18" t="s">
        <v>43</v>
      </c>
      <c r="F17" s="11">
        <v>0</v>
      </c>
      <c r="G17" s="6"/>
    </row>
    <row r="18" spans="1:7" x14ac:dyDescent="0.25">
      <c r="A18" s="13">
        <v>14</v>
      </c>
      <c r="B18" s="8" t="s">
        <v>79</v>
      </c>
      <c r="C18" s="8" t="s">
        <v>80</v>
      </c>
      <c r="D18" s="22" t="s">
        <v>58</v>
      </c>
      <c r="E18" s="19" t="s">
        <v>43</v>
      </c>
      <c r="F18" s="14">
        <v>0</v>
      </c>
      <c r="G18" s="8"/>
    </row>
    <row r="19" spans="1:7" x14ac:dyDescent="0.25">
      <c r="A19" s="10">
        <v>15</v>
      </c>
      <c r="B19" s="6" t="s">
        <v>81</v>
      </c>
      <c r="C19" s="6" t="s">
        <v>57</v>
      </c>
      <c r="D19" s="21" t="s">
        <v>58</v>
      </c>
      <c r="E19" s="18" t="s">
        <v>43</v>
      </c>
      <c r="F19" s="11">
        <v>0</v>
      </c>
      <c r="G19" s="6"/>
    </row>
    <row r="20" spans="1:7" x14ac:dyDescent="0.25">
      <c r="A20" s="13">
        <v>16</v>
      </c>
      <c r="B20" s="8" t="s">
        <v>82</v>
      </c>
      <c r="C20" s="8" t="s">
        <v>83</v>
      </c>
      <c r="D20" s="22" t="s">
        <v>58</v>
      </c>
      <c r="E20" s="19" t="s">
        <v>43</v>
      </c>
      <c r="F20" s="14">
        <v>0</v>
      </c>
      <c r="G20" s="8"/>
    </row>
    <row r="21" spans="1:7" x14ac:dyDescent="0.25">
      <c r="A21" s="10">
        <v>17</v>
      </c>
      <c r="B21" s="6" t="s">
        <v>84</v>
      </c>
      <c r="C21" s="6" t="s">
        <v>83</v>
      </c>
      <c r="D21" s="21" t="s">
        <v>58</v>
      </c>
      <c r="E21" s="18" t="s">
        <v>43</v>
      </c>
      <c r="F21" s="11">
        <v>0</v>
      </c>
      <c r="G21" s="6"/>
    </row>
  </sheetData>
  <mergeCells count="3">
    <mergeCell ref="A1:H1"/>
    <mergeCell ref="A2:H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zoomScaleNormal="100" workbookViewId="0">
      <pane ySplit="3" topLeftCell="A8" activePane="bottomLeft" state="frozen"/>
      <selection pane="bottomLeft" sqref="A1:H1"/>
    </sheetView>
  </sheetViews>
  <sheetFormatPr defaultColWidth="8.7109375" defaultRowHeight="15" x14ac:dyDescent="0.25"/>
  <cols>
    <col min="1" max="1" width="4" customWidth="1"/>
    <col min="2" max="2" width="36" customWidth="1"/>
    <col min="3" max="4" width="12" customWidth="1"/>
    <col min="5" max="5" width="32" customWidth="1"/>
    <col min="6" max="6" width="18" customWidth="1"/>
    <col min="7" max="7" width="12" customWidth="1"/>
  </cols>
  <sheetData>
    <row r="1" spans="1:8" ht="36" customHeight="1" x14ac:dyDescent="0.25">
      <c r="A1" s="4" t="s">
        <v>85</v>
      </c>
      <c r="B1" s="4"/>
      <c r="C1" s="4"/>
      <c r="D1" s="4"/>
      <c r="E1" s="4"/>
      <c r="F1" s="4"/>
      <c r="G1" s="4"/>
      <c r="H1" s="4"/>
    </row>
    <row r="2" spans="1:8" ht="19.5" customHeight="1" x14ac:dyDescent="0.25">
      <c r="A2" s="3"/>
      <c r="B2" s="3"/>
      <c r="C2" s="3"/>
      <c r="D2" s="3"/>
      <c r="E2" s="3"/>
      <c r="F2" s="3"/>
      <c r="G2" s="3"/>
      <c r="H2" s="3"/>
    </row>
    <row r="3" spans="1:8" ht="18" customHeight="1" x14ac:dyDescent="0.25">
      <c r="A3" s="2" t="s">
        <v>86</v>
      </c>
      <c r="B3" s="2"/>
      <c r="C3" s="2"/>
      <c r="D3" s="2"/>
      <c r="E3" s="2"/>
      <c r="F3" s="2"/>
      <c r="G3" s="2"/>
    </row>
    <row r="4" spans="1:8" x14ac:dyDescent="0.25">
      <c r="A4" s="5" t="s">
        <v>23</v>
      </c>
      <c r="B4" s="5" t="s">
        <v>87</v>
      </c>
      <c r="C4" s="5" t="s">
        <v>88</v>
      </c>
      <c r="D4" s="5" t="s">
        <v>89</v>
      </c>
      <c r="E4" s="5" t="s">
        <v>90</v>
      </c>
      <c r="F4" s="5" t="s">
        <v>91</v>
      </c>
      <c r="G4" s="5" t="s">
        <v>30</v>
      </c>
    </row>
    <row r="5" spans="1:8" ht="36" customHeight="1" x14ac:dyDescent="0.25">
      <c r="A5" s="10">
        <v>1</v>
      </c>
      <c r="B5" s="6" t="s">
        <v>92</v>
      </c>
      <c r="C5" s="21" t="s">
        <v>58</v>
      </c>
      <c r="D5" s="6" t="s">
        <v>93</v>
      </c>
      <c r="E5" s="6" t="s">
        <v>94</v>
      </c>
      <c r="F5" s="6" t="s">
        <v>95</v>
      </c>
      <c r="G5" s="21" t="s">
        <v>96</v>
      </c>
    </row>
    <row r="6" spans="1:8" ht="36" customHeight="1" x14ac:dyDescent="0.25">
      <c r="A6" s="13">
        <v>2</v>
      </c>
      <c r="B6" s="8" t="s">
        <v>97</v>
      </c>
      <c r="C6" s="22" t="s">
        <v>58</v>
      </c>
      <c r="D6" s="8" t="s">
        <v>93</v>
      </c>
      <c r="E6" s="8" t="s">
        <v>98</v>
      </c>
      <c r="F6" s="8" t="s">
        <v>95</v>
      </c>
      <c r="G6" s="22" t="s">
        <v>96</v>
      </c>
    </row>
    <row r="7" spans="1:8" ht="36" customHeight="1" x14ac:dyDescent="0.25">
      <c r="A7" s="10">
        <v>3</v>
      </c>
      <c r="B7" s="6" t="s">
        <v>99</v>
      </c>
      <c r="C7" s="16" t="s">
        <v>73</v>
      </c>
      <c r="D7" s="6" t="s">
        <v>93</v>
      </c>
      <c r="E7" s="6" t="s">
        <v>100</v>
      </c>
      <c r="F7" s="6" t="s">
        <v>95</v>
      </c>
      <c r="G7" s="21" t="s">
        <v>96</v>
      </c>
    </row>
    <row r="8" spans="1:8" ht="36" customHeight="1" x14ac:dyDescent="0.25">
      <c r="A8" s="13">
        <v>4</v>
      </c>
      <c r="B8" s="8" t="s">
        <v>101</v>
      </c>
      <c r="C8" s="17" t="s">
        <v>73</v>
      </c>
      <c r="D8" s="8" t="s">
        <v>93</v>
      </c>
      <c r="E8" s="8" t="s">
        <v>102</v>
      </c>
      <c r="F8" s="8" t="s">
        <v>95</v>
      </c>
      <c r="G8" s="22" t="s">
        <v>96</v>
      </c>
    </row>
    <row r="9" spans="1:8" ht="36" customHeight="1" x14ac:dyDescent="0.25">
      <c r="A9" s="10">
        <v>5</v>
      </c>
      <c r="B9" s="6" t="s">
        <v>103</v>
      </c>
      <c r="C9" s="16" t="s">
        <v>73</v>
      </c>
      <c r="D9" s="6" t="s">
        <v>104</v>
      </c>
      <c r="E9" s="6" t="s">
        <v>105</v>
      </c>
      <c r="F9" s="6" t="s">
        <v>95</v>
      </c>
      <c r="G9" s="16" t="s">
        <v>106</v>
      </c>
    </row>
    <row r="10" spans="1:8" ht="36" customHeight="1" x14ac:dyDescent="0.25">
      <c r="A10" s="13">
        <v>6</v>
      </c>
      <c r="B10" s="8" t="s">
        <v>107</v>
      </c>
      <c r="C10" s="15" t="s">
        <v>108</v>
      </c>
      <c r="D10" s="8" t="s">
        <v>104</v>
      </c>
      <c r="E10" s="8" t="s">
        <v>109</v>
      </c>
      <c r="F10" s="8" t="s">
        <v>95</v>
      </c>
      <c r="G10" s="15" t="s">
        <v>110</v>
      </c>
    </row>
  </sheetData>
  <mergeCells count="3">
    <mergeCell ref="A1:H1"/>
    <mergeCell ref="A2:H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zoomScaleNormal="100" workbookViewId="0">
      <pane ySplit="3" topLeftCell="A4" activePane="bottomLeft" state="frozen"/>
      <selection pane="bottomLeft" activeCell="J5" sqref="J5"/>
    </sheetView>
  </sheetViews>
  <sheetFormatPr defaultColWidth="8.7109375" defaultRowHeight="15" x14ac:dyDescent="0.25"/>
  <cols>
    <col min="1" max="1" width="4" customWidth="1"/>
    <col min="2" max="2" width="12" customWidth="1"/>
    <col min="3" max="3" width="42" customWidth="1"/>
    <col min="4" max="4" width="28" customWidth="1"/>
    <col min="5" max="6" width="14" customWidth="1"/>
    <col min="7" max="7" width="16" customWidth="1"/>
  </cols>
  <sheetData>
    <row r="1" spans="1:8" ht="36" customHeight="1" x14ac:dyDescent="0.25">
      <c r="A1" s="4" t="s">
        <v>111</v>
      </c>
      <c r="B1" s="4"/>
      <c r="C1" s="4"/>
      <c r="D1" s="4"/>
      <c r="E1" s="4"/>
      <c r="F1" s="4"/>
      <c r="G1" s="4"/>
      <c r="H1" s="4"/>
    </row>
    <row r="2" spans="1:8" ht="19.5" customHeight="1" x14ac:dyDescent="0.25">
      <c r="A2" s="3"/>
      <c r="B2" s="3"/>
      <c r="C2" s="3"/>
      <c r="D2" s="3"/>
      <c r="E2" s="3"/>
      <c r="F2" s="3"/>
      <c r="G2" s="3"/>
      <c r="H2" s="3"/>
    </row>
    <row r="3" spans="1:8" ht="18" customHeight="1" x14ac:dyDescent="0.25">
      <c r="A3" s="2" t="s">
        <v>112</v>
      </c>
      <c r="B3" s="2"/>
      <c r="C3" s="2"/>
      <c r="D3" s="2"/>
      <c r="E3" s="2"/>
      <c r="F3" s="2"/>
      <c r="G3" s="2"/>
    </row>
    <row r="4" spans="1:8" x14ac:dyDescent="0.25">
      <c r="A4" s="5" t="s">
        <v>23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55</v>
      </c>
    </row>
    <row r="5" spans="1:8" ht="36" customHeight="1" x14ac:dyDescent="0.25">
      <c r="A5" s="10">
        <v>1</v>
      </c>
      <c r="B5" s="6">
        <v>2014</v>
      </c>
      <c r="C5" s="6" t="s">
        <v>118</v>
      </c>
      <c r="D5" s="6" t="s">
        <v>119</v>
      </c>
      <c r="E5" s="6" t="s">
        <v>120</v>
      </c>
      <c r="F5" s="6" t="s">
        <v>120</v>
      </c>
      <c r="G5" s="6" t="s">
        <v>121</v>
      </c>
    </row>
    <row r="6" spans="1:8" ht="36" customHeight="1" x14ac:dyDescent="0.25">
      <c r="A6" s="13">
        <v>2</v>
      </c>
      <c r="B6" s="8">
        <v>2014</v>
      </c>
      <c r="C6" s="8" t="s">
        <v>122</v>
      </c>
      <c r="D6" s="8" t="s">
        <v>123</v>
      </c>
      <c r="E6" s="8" t="s">
        <v>120</v>
      </c>
      <c r="F6" s="8" t="s">
        <v>120</v>
      </c>
      <c r="G6" s="8" t="s">
        <v>124</v>
      </c>
    </row>
    <row r="7" spans="1:8" ht="36" customHeight="1" x14ac:dyDescent="0.25">
      <c r="A7" s="10">
        <v>3</v>
      </c>
      <c r="B7" s="6">
        <v>2019</v>
      </c>
      <c r="C7" s="6" t="s">
        <v>125</v>
      </c>
      <c r="D7" s="6" t="s">
        <v>126</v>
      </c>
      <c r="E7" s="6" t="s">
        <v>120</v>
      </c>
      <c r="F7" s="6" t="s">
        <v>120</v>
      </c>
      <c r="G7" s="6" t="s">
        <v>127</v>
      </c>
    </row>
    <row r="8" spans="1:8" ht="36" customHeight="1" x14ac:dyDescent="0.25">
      <c r="A8" s="13">
        <v>4</v>
      </c>
      <c r="B8" s="8">
        <v>2019</v>
      </c>
      <c r="C8" s="8" t="s">
        <v>128</v>
      </c>
      <c r="D8" s="8" t="s">
        <v>129</v>
      </c>
      <c r="E8" s="8" t="s">
        <v>120</v>
      </c>
      <c r="F8" s="8" t="s">
        <v>120</v>
      </c>
      <c r="G8" s="8" t="s">
        <v>130</v>
      </c>
    </row>
    <row r="9" spans="1:8" ht="36" customHeight="1" x14ac:dyDescent="0.25">
      <c r="A9" s="10">
        <v>5</v>
      </c>
      <c r="B9" s="6">
        <v>2020</v>
      </c>
      <c r="C9" s="6" t="s">
        <v>131</v>
      </c>
      <c r="D9" s="6" t="s">
        <v>132</v>
      </c>
      <c r="E9" s="6" t="s">
        <v>133</v>
      </c>
      <c r="F9" s="6" t="s">
        <v>134</v>
      </c>
      <c r="G9" s="6"/>
    </row>
    <row r="10" spans="1:8" ht="36" customHeight="1" x14ac:dyDescent="0.25">
      <c r="A10" s="13">
        <v>6</v>
      </c>
      <c r="B10" s="8">
        <v>2021</v>
      </c>
      <c r="C10" s="8" t="s">
        <v>135</v>
      </c>
      <c r="D10" s="8" t="s">
        <v>136</v>
      </c>
      <c r="E10" s="8" t="s">
        <v>134</v>
      </c>
      <c r="F10" s="8" t="s">
        <v>134</v>
      </c>
      <c r="G10" s="8" t="s">
        <v>137</v>
      </c>
    </row>
    <row r="11" spans="1:8" ht="36" customHeight="1" x14ac:dyDescent="0.25">
      <c r="A11" s="10">
        <v>7</v>
      </c>
      <c r="B11" s="6">
        <v>2024</v>
      </c>
      <c r="C11" s="6" t="s">
        <v>138</v>
      </c>
      <c r="D11" s="6" t="s">
        <v>139</v>
      </c>
      <c r="E11" s="6" t="s">
        <v>133</v>
      </c>
      <c r="F11" s="6" t="s">
        <v>134</v>
      </c>
      <c r="G11" s="6" t="s">
        <v>140</v>
      </c>
    </row>
    <row r="12" spans="1:8" ht="36" customHeight="1" x14ac:dyDescent="0.25">
      <c r="A12" s="13">
        <v>8</v>
      </c>
      <c r="B12" s="8"/>
      <c r="C12" s="8" t="s">
        <v>141</v>
      </c>
      <c r="D12" s="8"/>
      <c r="E12" s="8"/>
      <c r="F12" s="8"/>
      <c r="G12" s="8"/>
    </row>
  </sheetData>
  <mergeCells count="3">
    <mergeCell ref="A1:H1"/>
    <mergeCell ref="A2:H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Resum</vt:lpstr>
      <vt:lpstr>Capítols</vt:lpstr>
      <vt:lpstr>Tasques</vt:lpstr>
      <vt:lpstr>Riscos</vt:lpstr>
      <vt:lpstr>Bibliografia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Iker Martin Saladich</cp:lastModifiedBy>
  <cp:revision>0</cp:revision>
  <dcterms:created xsi:type="dcterms:W3CDTF">2026-06-04T18:12:48Z</dcterms:created>
  <dcterms:modified xsi:type="dcterms:W3CDTF">2026-06-11T15:20:41Z</dcterms:modified>
  <dc:language>en-US</dc:language>
</cp:coreProperties>
</file>