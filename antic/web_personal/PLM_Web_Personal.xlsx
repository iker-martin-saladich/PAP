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" sheetId="1" state="visible" r:id="rId3"/>
    <sheet name="Fases" sheetId="2" state="visible" r:id="rId4"/>
    <sheet name="Tasques" sheetId="3" state="visible" r:id="rId5"/>
    <sheet name="Riscos" sheetId="4" state="visible" r:id="rId6"/>
    <sheet name="Pressupo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<sst xmlns="http://schemas.openxmlformats.org/spreadsheetml/2006/main" count="181" uniqueCount="116">
  <si>
    <t xml:space="preserve">PLM · Web Personal</t>
  </si>
  <si>
    <t xml:space="preserve">Portafoli professional amb sistema de seguiment integrat</t>
  </si>
  <si>
    <t xml:space="preserve">  INDICADORS GLOBALS</t>
  </si>
  <si>
    <t xml:space="preserve">Indicador</t>
  </si>
  <si>
    <t xml:space="preserve">Valor</t>
  </si>
  <si>
    <t xml:space="preserve">Unitat</t>
  </si>
  <si>
    <t xml:space="preserve">Nota</t>
  </si>
  <si>
    <t xml:space="preserve">Progrés global</t>
  </si>
  <si>
    <t xml:space="preserve">%</t>
  </si>
  <si>
    <t xml:space="preserve">Mitjana de les fases</t>
  </si>
  <si>
    <t xml:space="preserve">Fases completades</t>
  </si>
  <si>
    <t xml:space="preserve">fases</t>
  </si>
  <si>
    <t xml:space="preserve">Tasques totals</t>
  </si>
  <si>
    <t xml:space="preserve">ud.</t>
  </si>
  <si>
    <t xml:space="preserve">Tasques completades</t>
  </si>
  <si>
    <t xml:space="preserve">Tasques pendents</t>
  </si>
  <si>
    <t xml:space="preserve">Riscos alts</t>
  </si>
  <si>
    <t xml:space="preserve">  NOTES GENERALS / DECISIONS CLAU</t>
  </si>
  <si>
    <t xml:space="preserve">Afegeix aquí les decisions estratègiques del projecte, lliçons apreses i observacions generals.</t>
  </si>
  <si>
    <t xml:space="preserve">Fases del Projecte · Web Personal</t>
  </si>
  <si>
    <t xml:space="preserve">  FASES DEL PROJECTE</t>
  </si>
  <si>
    <t xml:space="preserve">#</t>
  </si>
  <si>
    <t xml:space="preserve">Fase</t>
  </si>
  <si>
    <t xml:space="preserve">Descripció</t>
  </si>
  <si>
    <t xml:space="preserve">Data inici</t>
  </si>
  <si>
    <t xml:space="preserve">Data fi prev.</t>
  </si>
  <si>
    <t xml:space="preserve">% Complet</t>
  </si>
  <si>
    <t xml:space="preserve">Estat</t>
  </si>
  <si>
    <t xml:space="preserve">Responsable</t>
  </si>
  <si>
    <t xml:space="preserve">Planificació i disseny</t>
  </si>
  <si>
    <t xml:space="preserve">Definició d'estructura, paleta de colors, tipografia i continguts</t>
  </si>
  <si>
    <t xml:space="preserve">2025-01-01</t>
  </si>
  <si>
    <t xml:space="preserve">2025-01-15</t>
  </si>
  <si>
    <t xml:space="preserve">██████████  100%</t>
  </si>
  <si>
    <t xml:space="preserve">Completat</t>
  </si>
  <si>
    <t xml:space="preserve">Desenvolupament HTML/CSS</t>
  </si>
  <si>
    <t xml:space="preserve">Maquetació de la pàgina principal i dels quatre scripts PLM</t>
  </si>
  <si>
    <t xml:space="preserve">2025-02-28</t>
  </si>
  <si>
    <t xml:space="preserve">███████░░░  70%</t>
  </si>
  <si>
    <t xml:space="preserve">En progrés</t>
  </si>
  <si>
    <t xml:space="preserve">Contingut i personalització</t>
  </si>
  <si>
    <t xml:space="preserve">Omplir dades reals: CV, foto, estudis, experiència</t>
  </si>
  <si>
    <t xml:space="preserve">2025-03-01</t>
  </si>
  <si>
    <t xml:space="preserve">2025-03-31</t>
  </si>
  <si>
    <t xml:space="preserve">█░░░░░░░░░  10%</t>
  </si>
  <si>
    <t xml:space="preserve">Publicació i SEO bàsic</t>
  </si>
  <si>
    <t xml:space="preserve">Hosting (GitHub Pages), domini personalitzat, metadades</t>
  </si>
  <si>
    <t xml:space="preserve">2025-04-01</t>
  </si>
  <si>
    <t xml:space="preserve">2025-04-30</t>
  </si>
  <si>
    <t xml:space="preserve">░░░░░░░░░░  0%</t>
  </si>
  <si>
    <t xml:space="preserve">Pendent</t>
  </si>
  <si>
    <t xml:space="preserve">Tasques · Web Personal</t>
  </si>
  <si>
    <t xml:space="preserve">  LLISTA DE TASQUES</t>
  </si>
  <si>
    <t xml:space="preserve">Tasca</t>
  </si>
  <si>
    <t xml:space="preserve">Fase associada</t>
  </si>
  <si>
    <t xml:space="preserve">Prioritat</t>
  </si>
  <si>
    <t xml:space="preserve">% Fet</t>
  </si>
  <si>
    <t xml:space="preserve">Notes</t>
  </si>
  <si>
    <t xml:space="preserve">Definir estructura de pàgines</t>
  </si>
  <si>
    <t xml:space="preserve">Planificació</t>
  </si>
  <si>
    <t xml:space="preserve">Alta</t>
  </si>
  <si>
    <t xml:space="preserve">Triar paleta de colors i tipografia</t>
  </si>
  <si>
    <t xml:space="preserve">Playfair + DM Sans</t>
  </si>
  <si>
    <t xml:space="preserve">Crear index.html – pàgina principal</t>
  </si>
  <si>
    <t xml:space="preserve">Desenvolupament</t>
  </si>
  <si>
    <t xml:space="preserve">Crear plm_web.html</t>
  </si>
  <si>
    <t xml:space="preserve">Crear plm_tesi.html</t>
  </si>
  <si>
    <t xml:space="preserve">Crear plm_elevador.html</t>
  </si>
  <si>
    <t xml:space="preserve">Generar excels PLM</t>
  </si>
  <si>
    <t xml:space="preserve">Omplir dades reals del CV</t>
  </si>
  <si>
    <t xml:space="preserve">Contingut</t>
  </si>
  <si>
    <t xml:space="preserve">Nom, estudis, experiència</t>
  </si>
  <si>
    <t xml:space="preserve">Afegir foto de perfil</t>
  </si>
  <si>
    <t xml:space="preserve">Mitja</t>
  </si>
  <si>
    <t xml:space="preserve">Actualitzar barres de progrés reals</t>
  </si>
  <si>
    <t xml:space="preserve">Contractar hosting (GitHub Pages)</t>
  </si>
  <si>
    <t xml:space="preserve">Publicació</t>
  </si>
  <si>
    <t xml:space="preserve">Gratuït</t>
  </si>
  <si>
    <t xml:space="preserve">Configurar domini personalitzat</t>
  </si>
  <si>
    <t xml:space="preserve">Baixa</t>
  </si>
  <si>
    <t xml:space="preserve">~10€/any</t>
  </si>
  <si>
    <t xml:space="preserve">Afegir formulari de contacte</t>
  </si>
  <si>
    <t xml:space="preserve">Formspree o similar</t>
  </si>
  <si>
    <t xml:space="preserve">SEO bàsic (meta tags, OG)</t>
  </si>
  <si>
    <t xml:space="preserve">Riscos · Web Personal</t>
  </si>
  <si>
    <t xml:space="preserve">  REGISTRE DE RISCOS</t>
  </si>
  <si>
    <t xml:space="preserve">Risc identificat</t>
  </si>
  <si>
    <t xml:space="preserve">Probabilitat</t>
  </si>
  <si>
    <t xml:space="preserve">Impacte</t>
  </si>
  <si>
    <t xml:space="preserve">Mesures de mitigació</t>
  </si>
  <si>
    <t xml:space="preserve">Manca de temps per omplir continguts</t>
  </si>
  <si>
    <t xml:space="preserve">Mig</t>
  </si>
  <si>
    <t xml:space="preserve">Dedicar 1h/setmana els dimecres a actualitzar</t>
  </si>
  <si>
    <t xml:space="preserve">Obert</t>
  </si>
  <si>
    <t xml:space="preserve">Costos de hosting inesperats</t>
  </si>
  <si>
    <t xml:space="preserve">Baix</t>
  </si>
  <si>
    <t xml:space="preserve">GitHub Pages és gratuït; Netlify té pla free</t>
  </si>
  <si>
    <t xml:space="preserve">Tancat</t>
  </si>
  <si>
    <t xml:space="preserve">Complexitat tècnica SEO avançat</t>
  </si>
  <si>
    <t xml:space="preserve">SEO bàsic és suficient per a l'objectiu actual</t>
  </si>
  <si>
    <t xml:space="preserve">Acceptat</t>
  </si>
  <si>
    <t xml:space="preserve">Incompatibilitat de navegadors</t>
  </si>
  <si>
    <t xml:space="preserve">Testar en Chrome, Firefox i Safari</t>
  </si>
  <si>
    <t xml:space="preserve">Pressupost · Web Personal</t>
  </si>
  <si>
    <t xml:space="preserve">  PRESSUPOST DEL PROJECTE</t>
  </si>
  <si>
    <t xml:space="preserve">Concepte</t>
  </si>
  <si>
    <t xml:space="preserve">Categoria</t>
  </si>
  <si>
    <t xml:space="preserve">Cost est. (€)</t>
  </si>
  <si>
    <t xml:space="preserve">Cost real (€)</t>
  </si>
  <si>
    <t xml:space="preserve">Nom de domini (.com o .cat)</t>
  </si>
  <si>
    <t xml:space="preserve">~10€/any a Namecheap</t>
  </si>
  <si>
    <t xml:space="preserve">Hosting (GitHub Pages)</t>
  </si>
  <si>
    <t xml:space="preserve">Fonts Google (Google Fonts)</t>
  </si>
  <si>
    <t xml:space="preserve">Disseny</t>
  </si>
  <si>
    <t xml:space="preserve">Eines de disseny (Figma free)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</si>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</sst>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\%"/>
    <numFmt numFmtId="167" formatCode="#,##0.00&quot; €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717D7E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5D6D7E"/>
        <bgColor rgb="FF717D7E"/>
      </patternFill>
    </fill>
    <fill>
      <patternFill patternType="solid">
        <fgColor rgb="FFEBF5FB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D5E8F0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C0C0C0"/>
      <rgbColor rgb="FF717D7E"/>
      <rgbColor rgb="FF9999FF"/>
      <rgbColor rgb="FF993366"/>
      <rgbColor rgb="FFF8F9FA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1A5276"/>
      <rgbColor rgb="FF1E8449"/>
      <rgbColor rgb="FF003300"/>
      <rgbColor rgb="FF333300"/>
      <rgbColor rgb="FF922B21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</row>
    <row r="5" customFormat="false" ht="23.85" hidden="false" customHeight="false" outlineLevel="0" collapsed="false">
      <c r="A5" s="5" t="s">
        <v>7</v>
      </c>
      <c r="B5" s="6" t="n">
        <f aca="false">IFERROR(AVERAGE(Fases!F4:F7),0)</f>
        <v>60</v>
      </c>
      <c r="C5" s="5" t="s">
        <v>8</v>
      </c>
      <c r="D5" s="5" t="s">
        <v>9</v>
      </c>
    </row>
    <row r="6" customFormat="false" ht="15" hidden="false" customHeight="false" outlineLevel="0" collapsed="false">
      <c r="A6" s="7" t="s">
        <v>10</v>
      </c>
      <c r="B6" s="8" t="n">
        <f aca="false">COUNTIF(Fases!E4:E7,"Completat")</f>
        <v>0</v>
      </c>
      <c r="C6" s="7" t="s">
        <v>11</v>
      </c>
      <c r="D6" s="7"/>
    </row>
    <row r="7" customFormat="false" ht="15" hidden="false" customHeight="false" outlineLevel="0" collapsed="false">
      <c r="A7" s="5" t="s">
        <v>12</v>
      </c>
      <c r="B7" s="6" t="n">
        <f aca="false">COUNTA(Tasques!B4:B20)-COUNTBLANK(Tasques!B4:B20)</f>
        <v>13</v>
      </c>
      <c r="C7" s="5" t="s">
        <v>13</v>
      </c>
      <c r="D7" s="5"/>
    </row>
    <row r="8" customFormat="false" ht="15" hidden="false" customHeight="false" outlineLevel="0" collapsed="false">
      <c r="A8" s="7" t="s">
        <v>14</v>
      </c>
      <c r="B8" s="8" t="n">
        <f aca="false">COUNTIF(Tasques!D4:D20,"Completat")</f>
        <v>0</v>
      </c>
      <c r="C8" s="7" t="s">
        <v>13</v>
      </c>
      <c r="D8" s="7"/>
    </row>
    <row r="9" customFormat="false" ht="15" hidden="false" customHeight="false" outlineLevel="0" collapsed="false">
      <c r="A9" s="5" t="s">
        <v>15</v>
      </c>
      <c r="B9" s="6" t="n">
        <f aca="false">COUNTIF(Tasques!D4:D20,"Pendent")</f>
        <v>0</v>
      </c>
      <c r="C9" s="5" t="s">
        <v>13</v>
      </c>
      <c r="D9" s="5"/>
    </row>
    <row r="10" customFormat="false" ht="15" hidden="false" customHeight="false" outlineLevel="0" collapsed="false">
      <c r="A10" s="7" t="s">
        <v>16</v>
      </c>
      <c r="B10" s="8" t="n">
        <f aca="false">COUNTIF(Riscos!C4:C15,"Alt")</f>
        <v>0</v>
      </c>
      <c r="C10" s="7" t="s">
        <v>13</v>
      </c>
      <c r="D10" s="7"/>
    </row>
    <row r="12" customFormat="false" ht="18" hidden="false" customHeight="true" outlineLevel="0" collapsed="false">
      <c r="A12" s="3" t="s">
        <v>17</v>
      </c>
      <c r="B12" s="3"/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A13" s="9" t="s">
        <v>18</v>
      </c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</sheetData>
  <mergeCells count="5">
    <mergeCell ref="A1:H1"/>
    <mergeCell ref="A2:H2"/>
    <mergeCell ref="A3:H3"/>
    <mergeCell ref="A12:H12"/>
    <mergeCell ref="A13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30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36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20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</row>
    <row r="5" customFormat="false" ht="39.75" hidden="false" customHeight="true" outlineLevel="0" collapsed="false">
      <c r="A5" s="10" t="n">
        <v>1</v>
      </c>
      <c r="B5" s="5" t="s">
        <v>29</v>
      </c>
      <c r="C5" s="5" t="s">
        <v>30</v>
      </c>
      <c r="D5" s="5" t="s">
        <v>31</v>
      </c>
      <c r="E5" s="5" t="s">
        <v>32</v>
      </c>
      <c r="F5" s="11" t="n">
        <v>100</v>
      </c>
      <c r="G5" s="5" t="s">
        <v>33</v>
      </c>
      <c r="H5" s="12" t="s">
        <v>34</v>
      </c>
    </row>
    <row r="6" customFormat="false" ht="39.75" hidden="false" customHeight="true" outlineLevel="0" collapsed="false">
      <c r="A6" s="13" t="n">
        <v>2</v>
      </c>
      <c r="B6" s="7" t="s">
        <v>35</v>
      </c>
      <c r="C6" s="7" t="s">
        <v>36</v>
      </c>
      <c r="D6" s="7" t="s">
        <v>32</v>
      </c>
      <c r="E6" s="7" t="s">
        <v>37</v>
      </c>
      <c r="F6" s="14" t="n">
        <v>70</v>
      </c>
      <c r="G6" s="7" t="s">
        <v>38</v>
      </c>
      <c r="H6" s="15" t="s">
        <v>39</v>
      </c>
    </row>
    <row r="7" customFormat="false" ht="39.75" hidden="false" customHeight="true" outlineLevel="0" collapsed="false">
      <c r="A7" s="10" t="n">
        <v>3</v>
      </c>
      <c r="B7" s="5" t="s">
        <v>40</v>
      </c>
      <c r="C7" s="5" t="s">
        <v>41</v>
      </c>
      <c r="D7" s="5" t="s">
        <v>42</v>
      </c>
      <c r="E7" s="5" t="s">
        <v>43</v>
      </c>
      <c r="F7" s="11" t="n">
        <v>10</v>
      </c>
      <c r="G7" s="5" t="s">
        <v>44</v>
      </c>
      <c r="H7" s="16" t="s">
        <v>39</v>
      </c>
    </row>
    <row r="8" customFormat="false" ht="39.75" hidden="false" customHeight="true" outlineLevel="0" collapsed="false">
      <c r="A8" s="13" t="n">
        <v>4</v>
      </c>
      <c r="B8" s="7" t="s">
        <v>45</v>
      </c>
      <c r="C8" s="7" t="s">
        <v>46</v>
      </c>
      <c r="D8" s="7" t="s">
        <v>47</v>
      </c>
      <c r="E8" s="7" t="s">
        <v>48</v>
      </c>
      <c r="F8" s="14" t="n">
        <v>0</v>
      </c>
      <c r="G8" s="7" t="s">
        <v>49</v>
      </c>
      <c r="H8" s="17" t="s">
        <v>50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36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52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21</v>
      </c>
      <c r="B4" s="4" t="s">
        <v>53</v>
      </c>
      <c r="C4" s="4" t="s">
        <v>54</v>
      </c>
      <c r="D4" s="4" t="s">
        <v>55</v>
      </c>
      <c r="E4" s="4" t="s">
        <v>27</v>
      </c>
      <c r="F4" s="4" t="s">
        <v>56</v>
      </c>
      <c r="G4" s="4" t="s">
        <v>57</v>
      </c>
    </row>
    <row r="5" customFormat="false" ht="15" hidden="false" customHeight="false" outlineLevel="0" collapsed="false">
      <c r="A5" s="10" t="n">
        <v>1</v>
      </c>
      <c r="B5" s="5" t="s">
        <v>58</v>
      </c>
      <c r="C5" s="5" t="s">
        <v>59</v>
      </c>
      <c r="D5" s="18" t="s">
        <v>60</v>
      </c>
      <c r="E5" s="12" t="s">
        <v>34</v>
      </c>
      <c r="F5" s="11" t="n">
        <v>100</v>
      </c>
      <c r="G5" s="5"/>
    </row>
    <row r="6" customFormat="false" ht="15" hidden="false" customHeight="false" outlineLevel="0" collapsed="false">
      <c r="A6" s="13" t="n">
        <v>2</v>
      </c>
      <c r="B6" s="7" t="s">
        <v>61</v>
      </c>
      <c r="C6" s="7" t="s">
        <v>59</v>
      </c>
      <c r="D6" s="19" t="s">
        <v>60</v>
      </c>
      <c r="E6" s="20" t="s">
        <v>34</v>
      </c>
      <c r="F6" s="14" t="n">
        <v>100</v>
      </c>
      <c r="G6" s="7" t="s">
        <v>62</v>
      </c>
    </row>
    <row r="7" customFormat="false" ht="15" hidden="false" customHeight="false" outlineLevel="0" collapsed="false">
      <c r="A7" s="10" t="n">
        <v>3</v>
      </c>
      <c r="B7" s="5" t="s">
        <v>63</v>
      </c>
      <c r="C7" s="5" t="s">
        <v>64</v>
      </c>
      <c r="D7" s="18" t="s">
        <v>60</v>
      </c>
      <c r="E7" s="12" t="s">
        <v>34</v>
      </c>
      <c r="F7" s="11" t="n">
        <v>100</v>
      </c>
      <c r="G7" s="5"/>
    </row>
    <row r="8" customFormat="false" ht="15" hidden="false" customHeight="false" outlineLevel="0" collapsed="false">
      <c r="A8" s="13" t="n">
        <v>4</v>
      </c>
      <c r="B8" s="7" t="s">
        <v>65</v>
      </c>
      <c r="C8" s="7" t="s">
        <v>64</v>
      </c>
      <c r="D8" s="19" t="s">
        <v>60</v>
      </c>
      <c r="E8" s="20" t="s">
        <v>34</v>
      </c>
      <c r="F8" s="14" t="n">
        <v>100</v>
      </c>
      <c r="G8" s="7"/>
    </row>
    <row r="9" customFormat="false" ht="15" hidden="false" customHeight="false" outlineLevel="0" collapsed="false">
      <c r="A9" s="10" t="n">
        <v>5</v>
      </c>
      <c r="B9" s="5" t="s">
        <v>66</v>
      </c>
      <c r="C9" s="5" t="s">
        <v>64</v>
      </c>
      <c r="D9" s="18" t="s">
        <v>60</v>
      </c>
      <c r="E9" s="12" t="s">
        <v>34</v>
      </c>
      <c r="F9" s="11" t="n">
        <v>100</v>
      </c>
      <c r="G9" s="5"/>
    </row>
    <row r="10" customFormat="false" ht="15" hidden="false" customHeight="false" outlineLevel="0" collapsed="false">
      <c r="A10" s="13" t="n">
        <v>6</v>
      </c>
      <c r="B10" s="7" t="s">
        <v>67</v>
      </c>
      <c r="C10" s="7" t="s">
        <v>64</v>
      </c>
      <c r="D10" s="19" t="s">
        <v>60</v>
      </c>
      <c r="E10" s="20" t="s">
        <v>34</v>
      </c>
      <c r="F10" s="14" t="n">
        <v>100</v>
      </c>
      <c r="G10" s="7"/>
    </row>
    <row r="11" customFormat="false" ht="15" hidden="false" customHeight="false" outlineLevel="0" collapsed="false">
      <c r="A11" s="10" t="n">
        <v>7</v>
      </c>
      <c r="B11" s="5" t="s">
        <v>68</v>
      </c>
      <c r="C11" s="5" t="s">
        <v>64</v>
      </c>
      <c r="D11" s="18" t="s">
        <v>60</v>
      </c>
      <c r="E11" s="12" t="s">
        <v>34</v>
      </c>
      <c r="F11" s="11" t="n">
        <v>100</v>
      </c>
      <c r="G11" s="5"/>
    </row>
    <row r="12" customFormat="false" ht="15" hidden="false" customHeight="false" outlineLevel="0" collapsed="false">
      <c r="A12" s="13" t="n">
        <v>8</v>
      </c>
      <c r="B12" s="7" t="s">
        <v>69</v>
      </c>
      <c r="C12" s="7" t="s">
        <v>70</v>
      </c>
      <c r="D12" s="19" t="s">
        <v>60</v>
      </c>
      <c r="E12" s="17" t="s">
        <v>50</v>
      </c>
      <c r="F12" s="14" t="n">
        <v>0</v>
      </c>
      <c r="G12" s="7" t="s">
        <v>71</v>
      </c>
    </row>
    <row r="13" customFormat="false" ht="15" hidden="false" customHeight="false" outlineLevel="0" collapsed="false">
      <c r="A13" s="10" t="n">
        <v>9</v>
      </c>
      <c r="B13" s="5" t="s">
        <v>72</v>
      </c>
      <c r="C13" s="5" t="s">
        <v>70</v>
      </c>
      <c r="D13" s="16" t="s">
        <v>73</v>
      </c>
      <c r="E13" s="21" t="s">
        <v>50</v>
      </c>
      <c r="F13" s="11" t="n">
        <v>0</v>
      </c>
      <c r="G13" s="5"/>
    </row>
    <row r="14" customFormat="false" ht="15" hidden="false" customHeight="false" outlineLevel="0" collapsed="false">
      <c r="A14" s="13" t="n">
        <v>10</v>
      </c>
      <c r="B14" s="7" t="s">
        <v>74</v>
      </c>
      <c r="C14" s="7" t="s">
        <v>70</v>
      </c>
      <c r="D14" s="19" t="s">
        <v>60</v>
      </c>
      <c r="E14" s="17" t="s">
        <v>50</v>
      </c>
      <c r="F14" s="14" t="n">
        <v>0</v>
      </c>
      <c r="G14" s="7"/>
    </row>
    <row r="15" customFormat="false" ht="15" hidden="false" customHeight="false" outlineLevel="0" collapsed="false">
      <c r="A15" s="10" t="n">
        <v>11</v>
      </c>
      <c r="B15" s="5" t="s">
        <v>75</v>
      </c>
      <c r="C15" s="5" t="s">
        <v>76</v>
      </c>
      <c r="D15" s="16" t="s">
        <v>73</v>
      </c>
      <c r="E15" s="21" t="s">
        <v>50</v>
      </c>
      <c r="F15" s="11" t="n">
        <v>0</v>
      </c>
      <c r="G15" s="5" t="s">
        <v>77</v>
      </c>
    </row>
    <row r="16" customFormat="false" ht="15" hidden="false" customHeight="false" outlineLevel="0" collapsed="false">
      <c r="A16" s="13" t="n">
        <v>12</v>
      </c>
      <c r="B16" s="7" t="s">
        <v>78</v>
      </c>
      <c r="C16" s="7" t="s">
        <v>76</v>
      </c>
      <c r="D16" s="20" t="s">
        <v>79</v>
      </c>
      <c r="E16" s="17" t="s">
        <v>50</v>
      </c>
      <c r="F16" s="14" t="n">
        <v>0</v>
      </c>
      <c r="G16" s="7" t="s">
        <v>80</v>
      </c>
    </row>
    <row r="17" customFormat="false" ht="15" hidden="false" customHeight="false" outlineLevel="0" collapsed="false">
      <c r="A17" s="10" t="n">
        <v>13</v>
      </c>
      <c r="B17" s="5" t="s">
        <v>81</v>
      </c>
      <c r="C17" s="5" t="s">
        <v>76</v>
      </c>
      <c r="D17" s="12" t="s">
        <v>79</v>
      </c>
      <c r="E17" s="21" t="s">
        <v>50</v>
      </c>
      <c r="F17" s="11" t="n">
        <v>0</v>
      </c>
      <c r="G17" s="5" t="s">
        <v>82</v>
      </c>
    </row>
    <row r="18" customFormat="false" ht="15" hidden="false" customHeight="false" outlineLevel="0" collapsed="false">
      <c r="A18" s="13" t="n">
        <v>14</v>
      </c>
      <c r="B18" s="7" t="s">
        <v>83</v>
      </c>
      <c r="C18" s="7" t="s">
        <v>76</v>
      </c>
      <c r="D18" s="20" t="s">
        <v>79</v>
      </c>
      <c r="E18" s="17" t="s">
        <v>50</v>
      </c>
      <c r="F18" s="14" t="n">
        <v>0</v>
      </c>
      <c r="G18" s="7"/>
    </row>
  </sheetData>
  <mergeCells count="3">
    <mergeCell ref="A1:H1"/>
    <mergeCell ref="A2:H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10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36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85</v>
      </c>
      <c r="B3" s="3"/>
      <c r="C3" s="3"/>
      <c r="D3" s="3"/>
      <c r="E3" s="3"/>
      <c r="F3" s="3"/>
      <c r="G3" s="3"/>
    </row>
    <row r="4" customFormat="false" ht="23.85" hidden="false" customHeight="false" outlineLevel="0" collapsed="false">
      <c r="A4" s="4" t="s">
        <v>21</v>
      </c>
      <c r="B4" s="4" t="s">
        <v>86</v>
      </c>
      <c r="C4" s="4" t="s">
        <v>87</v>
      </c>
      <c r="D4" s="4" t="s">
        <v>88</v>
      </c>
      <c r="E4" s="4" t="s">
        <v>89</v>
      </c>
      <c r="F4" s="4" t="s">
        <v>28</v>
      </c>
      <c r="G4" s="4" t="s">
        <v>27</v>
      </c>
    </row>
    <row r="5" customFormat="false" ht="23.85" hidden="false" customHeight="false" outlineLevel="0" collapsed="false">
      <c r="A5" s="10" t="n">
        <v>1</v>
      </c>
      <c r="B5" s="5" t="s">
        <v>90</v>
      </c>
      <c r="C5" s="16" t="s">
        <v>73</v>
      </c>
      <c r="D5" s="5" t="s">
        <v>91</v>
      </c>
      <c r="E5" s="5" t="s">
        <v>92</v>
      </c>
      <c r="F5" s="5"/>
      <c r="G5" s="16" t="s">
        <v>93</v>
      </c>
    </row>
    <row r="6" customFormat="false" ht="23.85" hidden="false" customHeight="false" outlineLevel="0" collapsed="false">
      <c r="A6" s="13" t="n">
        <v>2</v>
      </c>
      <c r="B6" s="7" t="s">
        <v>94</v>
      </c>
      <c r="C6" s="20" t="s">
        <v>79</v>
      </c>
      <c r="D6" s="7" t="s">
        <v>95</v>
      </c>
      <c r="E6" s="7" t="s">
        <v>96</v>
      </c>
      <c r="F6" s="7"/>
      <c r="G6" s="20" t="s">
        <v>97</v>
      </c>
    </row>
    <row r="7" customFormat="false" ht="23.85" hidden="false" customHeight="false" outlineLevel="0" collapsed="false">
      <c r="A7" s="10" t="n">
        <v>3</v>
      </c>
      <c r="B7" s="5" t="s">
        <v>98</v>
      </c>
      <c r="C7" s="12" t="s">
        <v>79</v>
      </c>
      <c r="D7" s="5" t="s">
        <v>95</v>
      </c>
      <c r="E7" s="5" t="s">
        <v>99</v>
      </c>
      <c r="F7" s="5"/>
      <c r="G7" s="16" t="s">
        <v>100</v>
      </c>
    </row>
    <row r="8" customFormat="false" ht="15" hidden="false" customHeight="false" outlineLevel="0" collapsed="false">
      <c r="A8" s="13" t="n">
        <v>4</v>
      </c>
      <c r="B8" s="7" t="s">
        <v>101</v>
      </c>
      <c r="C8" s="20" t="s">
        <v>79</v>
      </c>
      <c r="D8" s="7" t="s">
        <v>95</v>
      </c>
      <c r="E8" s="7" t="s">
        <v>102</v>
      </c>
      <c r="F8" s="7"/>
      <c r="G8" s="15" t="s">
        <v>93</v>
      </c>
    </row>
  </sheetData>
  <mergeCells count="3">
    <mergeCell ref="A1:H1"/>
    <mergeCell ref="A2:H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36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104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21</v>
      </c>
      <c r="B4" s="4" t="s">
        <v>105</v>
      </c>
      <c r="C4" s="4" t="s">
        <v>106</v>
      </c>
      <c r="D4" s="4" t="s">
        <v>107</v>
      </c>
      <c r="E4" s="4" t="s">
        <v>108</v>
      </c>
      <c r="F4" s="4" t="s">
        <v>27</v>
      </c>
      <c r="G4" s="4" t="s">
        <v>57</v>
      </c>
    </row>
    <row r="5" customFormat="false" ht="15" hidden="false" customHeight="false" outlineLevel="0" collapsed="false">
      <c r="A5" s="10" t="n">
        <v>1</v>
      </c>
      <c r="B5" s="5" t="s">
        <v>109</v>
      </c>
      <c r="C5" s="5" t="s">
        <v>76</v>
      </c>
      <c r="D5" s="22" t="n">
        <v>10</v>
      </c>
      <c r="E5" s="22" t="n">
        <v>0</v>
      </c>
      <c r="F5" s="5" t="s">
        <v>50</v>
      </c>
      <c r="G5" s="5" t="s">
        <v>110</v>
      </c>
    </row>
    <row r="6" customFormat="false" ht="15" hidden="false" customHeight="false" outlineLevel="0" collapsed="false">
      <c r="A6" s="13" t="n">
        <v>2</v>
      </c>
      <c r="B6" s="7" t="s">
        <v>111</v>
      </c>
      <c r="C6" s="7" t="s">
        <v>76</v>
      </c>
      <c r="D6" s="23" t="n">
        <v>0</v>
      </c>
      <c r="E6" s="23" t="n">
        <v>0</v>
      </c>
      <c r="F6" s="7" t="s">
        <v>50</v>
      </c>
      <c r="G6" s="7" t="s">
        <v>77</v>
      </c>
    </row>
    <row r="7" customFormat="false" ht="15" hidden="false" customHeight="false" outlineLevel="0" collapsed="false">
      <c r="A7" s="10" t="n">
        <v>3</v>
      </c>
      <c r="B7" s="5" t="s">
        <v>112</v>
      </c>
      <c r="C7" s="5" t="s">
        <v>113</v>
      </c>
      <c r="D7" s="22" t="n">
        <v>0</v>
      </c>
      <c r="E7" s="22" t="n">
        <v>0</v>
      </c>
      <c r="F7" s="5" t="s">
        <v>34</v>
      </c>
      <c r="G7" s="5" t="s">
        <v>77</v>
      </c>
    </row>
    <row r="8" customFormat="false" ht="15" hidden="false" customHeight="false" outlineLevel="0" collapsed="false">
      <c r="A8" s="13" t="n">
        <v>4</v>
      </c>
      <c r="B8" s="7" t="s">
        <v>114</v>
      </c>
      <c r="C8" s="7" t="s">
        <v>113</v>
      </c>
      <c r="D8" s="23" t="n">
        <v>0</v>
      </c>
      <c r="E8" s="23" t="n">
        <v>0</v>
      </c>
      <c r="F8" s="7" t="s">
        <v>34</v>
      </c>
      <c r="G8" s="7" t="s">
        <v>77</v>
      </c>
    </row>
    <row r="9" customFormat="false" ht="15" hidden="false" customHeight="false" outlineLevel="0" collapsed="false">
      <c r="A9" s="24"/>
      <c r="B9" s="24" t="s">
        <v>115</v>
      </c>
      <c r="C9" s="24"/>
      <c r="D9" s="25" t="n">
        <f aca="false">SUM(D5:D8)</f>
        <v>10</v>
      </c>
      <c r="E9" s="25" t="n">
        <f aca="false">SUM(E5:E8)</f>
        <v>0</v>
      </c>
      <c r="F9" s="24"/>
      <c r="G9" s="24"/>
    </row>
  </sheetData>
  <mergeCells count="3">
    <mergeCell ref="A1:H1"/>
    <mergeCell ref="A2:H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2026-06-04T18:12:48Z</dcterms:created>
  <dc:creator>openpyxl</dc:creator>
  <dc:description/>
  <dc:language>en-US</dc:language>
  <cp:lastModifiedBy/>
  <dcterms:modified xsi:type="dcterms:W3CDTF">2026-06-04T18:12:48Z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