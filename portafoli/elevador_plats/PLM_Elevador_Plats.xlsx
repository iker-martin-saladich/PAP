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" sheetId="1" state="visible" r:id="rId3"/>
    <sheet name="Fases" sheetId="2" state="visible" r:id="rId4"/>
    <sheet name="Tasques" sheetId="3" state="visible" r:id="rId5"/>
    <sheet name="Pressupost" sheetId="4" state="visible" r:id="rId6"/>
    <sheet name="Risco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<sst xmlns="http://schemas.openxmlformats.org/spreadsheetml/2006/main" count="306" uniqueCount="213">
  <si>
    <t xml:space="preserve">PLM · Elevador de Plats – Residència Rural</t>
  </si>
  <si>
    <t xml:space="preserve">Sistema mecànic de transport vertical PB → P1 | DIY | ~300€</t>
  </si>
  <si>
    <t xml:space="preserve">  INDICADORS GLOBALS</t>
  </si>
  <si>
    <t xml:space="preserve">Indicador</t>
  </si>
  <si>
    <t xml:space="preserve">Valor</t>
  </si>
  <si>
    <t xml:space="preserve">Unitat</t>
  </si>
  <si>
    <t xml:space="preserve">Nota</t>
  </si>
  <si>
    <t xml:space="preserve">Progrés global</t>
  </si>
  <si>
    <t xml:space="preserve">%</t>
  </si>
  <si>
    <t xml:space="preserve">Mitjana de les 6 fases</t>
  </si>
  <si>
    <t xml:space="preserve">Fases completades</t>
  </si>
  <si>
    <t xml:space="preserve">fases</t>
  </si>
  <si>
    <t xml:space="preserve">Tasques completades</t>
  </si>
  <si>
    <t xml:space="preserve">ud.</t>
  </si>
  <si>
    <t xml:space="preserve">Tasques pendents</t>
  </si>
  <si>
    <t xml:space="preserve">Cost estimat total (€)</t>
  </si>
  <si>
    <t xml:space="preserve">€</t>
  </si>
  <si>
    <t xml:space="preserve">Cost real acumulat (€)</t>
  </si>
  <si>
    <t xml:space="preserve">Actualitzar a mesura que es compra</t>
  </si>
  <si>
    <t xml:space="preserve">Desviació pressupostària (€)</t>
  </si>
  <si>
    <t xml:space="preserve">Negatiu = per sota del pressupost</t>
  </si>
  <si>
    <t xml:space="preserve">Riscos alts oberts</t>
  </si>
  <si>
    <t xml:space="preserve">  ESPECIFICACIONS TÈCNIQUES BÀSIQUES</t>
  </si>
  <si>
    <t xml:space="preserve">Paràmetre</t>
  </si>
  <si>
    <t xml:space="preserve">Observació</t>
  </si>
  <si>
    <t xml:space="preserve">Tipus de sistema</t>
  </si>
  <si>
    <t xml:space="preserve">Muntacàrregues cable + politja</t>
  </si>
  <si>
    <t xml:space="preserve">Alçada de recorregut</t>
  </si>
  <si>
    <t xml:space="preserve">~3</t>
  </si>
  <si>
    <t xml:space="preserve">m</t>
  </si>
  <si>
    <t xml:space="preserve">PB → P1; mesurar amb exactitud</t>
  </si>
  <si>
    <t xml:space="preserve">Càrrega útil màxima</t>
  </si>
  <si>
    <t xml:space="preserve">15</t>
  </si>
  <si>
    <t xml:space="preserve">kg</t>
  </si>
  <si>
    <t xml:space="preserve">Plats + coberteria + menjar</t>
  </si>
  <si>
    <t xml:space="preserve">Dimensions cabina (L×A×H)</t>
  </si>
  <si>
    <t xml:space="preserve">40 × 35 × 30</t>
  </si>
  <si>
    <t xml:space="preserve">cm</t>
  </si>
  <si>
    <t xml:space="preserve">Pendent confirmació</t>
  </si>
  <si>
    <t xml:space="preserve">Accionament</t>
  </si>
  <si>
    <t xml:space="preserve">Motor DC 12V</t>
  </si>
  <si>
    <t xml:space="preserve">Pendent selecció final</t>
  </si>
  <si>
    <t xml:space="preserve">Velocitat estimada</t>
  </si>
  <si>
    <t xml:space="preserve">~0,1</t>
  </si>
  <si>
    <t xml:space="preserve">m/s</t>
  </si>
  <si>
    <t xml:space="preserve">Cicle ~30s</t>
  </si>
  <si>
    <t xml:space="preserve">Control</t>
  </si>
  <si>
    <t xml:space="preserve">Botonera manual amunt/avall/stop</t>
  </si>
  <si>
    <t xml:space="preserve">Seguretat</t>
  </si>
  <si>
    <t xml:space="preserve">Limitador mecànic fi de carrera</t>
  </si>
  <si>
    <t xml:space="preserve">Un per extrem</t>
  </si>
  <si>
    <t xml:space="preserve">Material estructura</t>
  </si>
  <si>
    <t xml:space="preserve">Alumini perfil T-ranura</t>
  </si>
  <si>
    <t xml:space="preserve">Alternativa: acer galvanitzat</t>
  </si>
  <si>
    <t xml:space="preserve">Fases del Projecte · Elevador de Plats</t>
  </si>
  <si>
    <t xml:space="preserve">  FASES DEL PROJECTE</t>
  </si>
  <si>
    <t xml:space="preserve">#</t>
  </si>
  <si>
    <t xml:space="preserve">Fase</t>
  </si>
  <si>
    <t xml:space="preserve">Activitats principals</t>
  </si>
  <si>
    <t xml:space="preserve">Data inici</t>
  </si>
  <si>
    <t xml:space="preserve">Data fi prev.</t>
  </si>
  <si>
    <t xml:space="preserve">% Complet</t>
  </si>
  <si>
    <t xml:space="preserve">Estat</t>
  </si>
  <si>
    <t xml:space="preserve">Observacions</t>
  </si>
  <si>
    <t xml:space="preserve">Definició de requisits</t>
  </si>
  <si>
    <t xml:space="preserve">Alçada real, càrrega, restriccions estructurals de la casa</t>
  </si>
  <si>
    <t xml:space="preserve">2025-01-01</t>
  </si>
  <si>
    <t xml:space="preserve">2025-01-31</t>
  </si>
  <si>
    <t xml:space="preserve">Completat</t>
  </si>
  <si>
    <t xml:space="preserve">Visita a la casa feta</t>
  </si>
  <si>
    <t xml:space="preserve">Disseny conceptual i càlcul</t>
  </si>
  <si>
    <t xml:space="preserve">Selecció sistema, càlcul de forces, potència motor, disseny CAD bàsic</t>
  </si>
  <si>
    <t xml:space="preserve">2025-02-01</t>
  </si>
  <si>
    <t xml:space="preserve">2025-03-31</t>
  </si>
  <si>
    <t xml:space="preserve">En progrés</t>
  </si>
  <si>
    <t xml:space="preserve">Càlcul motor pendent</t>
  </si>
  <si>
    <t xml:space="preserve">Llista i compra de materials</t>
  </si>
  <si>
    <t xml:space="preserve">Llista definitiva, cotització, comanda components</t>
  </si>
  <si>
    <t xml:space="preserve">2025-04-01</t>
  </si>
  <si>
    <t xml:space="preserve">2025-04-30</t>
  </si>
  <si>
    <t xml:space="preserve">Pendent</t>
  </si>
  <si>
    <t xml:space="preserve">Fabricació i muntatge mecànic</t>
  </si>
  <si>
    <t xml:space="preserve">Tall i muntatge estructura, cabina, politges, cable</t>
  </si>
  <si>
    <t xml:space="preserve">2025-05-01</t>
  </si>
  <si>
    <t xml:space="preserve">2025-06-30</t>
  </si>
  <si>
    <t xml:space="preserve">Requereix taller o espai de treball</t>
  </si>
  <si>
    <t xml:space="preserve">Instal·lació elèctrica i control</t>
  </si>
  <si>
    <t xml:space="preserve">Cablejat motor, relés, botonera, font d'alimentació</t>
  </si>
  <si>
    <t xml:space="preserve">2025-07-01</t>
  </si>
  <si>
    <t xml:space="preserve">2025-07-31</t>
  </si>
  <si>
    <t xml:space="preserve">Proves i posada en marxa</t>
  </si>
  <si>
    <t xml:space="preserve">Test de càrrega, velocitat, fi de carrera, ajustaments finals</t>
  </si>
  <si>
    <t xml:space="preserve">2025-08-01</t>
  </si>
  <si>
    <t xml:space="preserve">2025-08-31</t>
  </si>
  <si>
    <t xml:space="preserve">Prova amb càrrega real</t>
  </si>
  <si>
    <t xml:space="preserve">Tasques Tècniques · Elevador de Plats</t>
  </si>
  <si>
    <t xml:space="preserve">  LLISTA DE TASQUES TÈCNIQUES</t>
  </si>
  <si>
    <t xml:space="preserve">Tasca</t>
  </si>
  <si>
    <t xml:space="preserve">Prioritat</t>
  </si>
  <si>
    <t xml:space="preserve">% Fet</t>
  </si>
  <si>
    <t xml:space="preserve">Notes tècniques</t>
  </si>
  <si>
    <t xml:space="preserve">Mesurar alçada exacta PB→P1 a la casa</t>
  </si>
  <si>
    <t xml:space="preserve">Requisits</t>
  </si>
  <si>
    <t xml:space="preserve">Alta</t>
  </si>
  <si>
    <t xml:space="preserve">~3m; confirmar amb cinta mètrica</t>
  </si>
  <si>
    <t xml:space="preserve">Identificar restriccions estructurals (forat sostre)</t>
  </si>
  <si>
    <t xml:space="preserve">Forat màx. 45×45cm, zona no portant</t>
  </si>
  <si>
    <t xml:space="preserve">Definir concepte mecànic final (politja vs cargol)</t>
  </si>
  <si>
    <t xml:space="preserve">Disseny</t>
  </si>
  <si>
    <t xml:space="preserve">Seleccionat: politja + cable d'acer</t>
  </si>
  <si>
    <t xml:space="preserve">Càlcul de forces: tensió cable, parell motor</t>
  </si>
  <si>
    <t xml:space="preserve">F = (m+m_cabina)·g; afegir factor seguretat 2x</t>
  </si>
  <si>
    <t xml:space="preserve">Selecció i dimensionament del motor DC</t>
  </si>
  <si>
    <t xml:space="preserve">Buscar en Aliexpress / RS Components</t>
  </si>
  <si>
    <t xml:space="preserve">Disseny CAD de la cabina (SolidWorks/Fusion)</t>
  </si>
  <si>
    <t xml:space="preserve">Mitja</t>
  </si>
  <si>
    <t xml:space="preserve">Material: xapa alumini o fusta contraxapada</t>
  </si>
  <si>
    <t xml:space="preserve">Disseny CAD dels perfils guia</t>
  </si>
  <si>
    <t xml:space="preserve">Perfil T-ranura 40×40mm</t>
  </si>
  <si>
    <t xml:space="preserve">Llista definitiva de materials amb quantitats</t>
  </si>
  <si>
    <t xml:space="preserve">Materials</t>
  </si>
  <si>
    <t xml:space="preserve">Basat en CAD final</t>
  </si>
  <si>
    <t xml:space="preserve">Cotitzar i comparar proveïdors</t>
  </si>
  <si>
    <t xml:space="preserve">Alumeco, Leroy Merlin, Amazon</t>
  </si>
  <si>
    <t xml:space="preserve">Comprar components principals</t>
  </si>
  <si>
    <t xml:space="preserve">Tall i perforat de perfils d'alumini</t>
  </si>
  <si>
    <t xml:space="preserve">Fabricació</t>
  </si>
  <si>
    <t xml:space="preserve">Serrar i fresar en taller</t>
  </si>
  <si>
    <t xml:space="preserve">Muntar estructura guia vertical</t>
  </si>
  <si>
    <t xml:space="preserve">Fixar a paret amb tacs i ancoratges</t>
  </si>
  <si>
    <t xml:space="preserve">Construir cabina</t>
  </si>
  <si>
    <t xml:space="preserve">Fusta o alumini; tapa batent superior</t>
  </si>
  <si>
    <t xml:space="preserve">Instal·lar politges, cable i sistema de tracció</t>
  </si>
  <si>
    <t xml:space="preserve">Cablejat elèctric del motor i relés</t>
  </si>
  <si>
    <t xml:space="preserve">Elèctric</t>
  </si>
  <si>
    <t xml:space="preserve">12V DC; relé d'inversió de gir</t>
  </si>
  <si>
    <t xml:space="preserve">Instal·lar botonera (amunt/avall/stop)</t>
  </si>
  <si>
    <t xml:space="preserve">Un punt baix, un punt alt</t>
  </si>
  <si>
    <t xml:space="preserve">Instal·lar limitadors de fi de carrera</t>
  </si>
  <si>
    <t xml:space="preserve">Microswitch mecànic x2</t>
  </si>
  <si>
    <t xml:space="preserve">Prova en buit (sense càrrega)</t>
  </si>
  <si>
    <t xml:space="preserve">Proves</t>
  </si>
  <si>
    <t xml:space="preserve">Verificar recorregut complet</t>
  </si>
  <si>
    <t xml:space="preserve">Prova amb càrrega nominal (15 kg)</t>
  </si>
  <si>
    <t xml:space="preserve">Comprovar temperatura motor</t>
  </si>
  <si>
    <t xml:space="preserve">Ajustaments finals i posada en marxa definitiva</t>
  </si>
  <si>
    <t xml:space="preserve">Pressupost Detallat · Elevador de Plats</t>
  </si>
  <si>
    <t xml:space="preserve">  PRESSUPOST DESGLOSSAT</t>
  </si>
  <si>
    <t xml:space="preserve">Concepte</t>
  </si>
  <si>
    <t xml:space="preserve">Categoria</t>
  </si>
  <si>
    <t xml:space="preserve">Ud.</t>
  </si>
  <si>
    <t xml:space="preserve">Cost unit. est. (€)</t>
  </si>
  <si>
    <t xml:space="preserve">Cost total est. (€)</t>
  </si>
  <si>
    <t xml:space="preserve">Cost real (€)</t>
  </si>
  <si>
    <t xml:space="preserve">Proveïdor / Notes</t>
  </si>
  <si>
    <t xml:space="preserve">Motor DC 12V + reductora (RPM baixes)</t>
  </si>
  <si>
    <t xml:space="preserve">RS Components / Aliexpress</t>
  </si>
  <si>
    <t xml:space="preserve">Font d'alimentació 12V 5A</t>
  </si>
  <si>
    <t xml:space="preserve">Relé d'inversió de gir (H-bridge o 2 relés)</t>
  </si>
  <si>
    <t xml:space="preserve">Botonera (3 polsadors momentanis)</t>
  </si>
  <si>
    <t xml:space="preserve">Un per planta</t>
  </si>
  <si>
    <t xml:space="preserve">Microswitch fi de carrera</t>
  </si>
  <si>
    <t xml:space="preserve">Cable elèctric i connectors</t>
  </si>
  <si>
    <t xml:space="preserve">~5m de cable</t>
  </si>
  <si>
    <t xml:space="preserve">Cable d'acer 3mm Ø</t>
  </si>
  <si>
    <t xml:space="preserve">Mecànica</t>
  </si>
  <si>
    <t xml:space="preserve">m lineals</t>
  </si>
  <si>
    <t xml:space="preserve">Politja de retorn (Ø60mm)</t>
  </si>
  <si>
    <t xml:space="preserve">Tambor d'enrotllament (o politja motriu)</t>
  </si>
  <si>
    <t xml:space="preserve">Pot ser fabricat</t>
  </si>
  <si>
    <t xml:space="preserve">Perfil alumini T-ranura 40×40mm</t>
  </si>
  <si>
    <t xml:space="preserve">Estructura</t>
  </si>
  <si>
    <t xml:space="preserve">m lineals; Alumeco</t>
  </si>
  <si>
    <t xml:space="preserve">Escaires i connectors perfil</t>
  </si>
  <si>
    <t xml:space="preserve">Tacs i ancoratges a paret</t>
  </si>
  <si>
    <t xml:space="preserve">Fusta contraxapada 12mm (cabina)</t>
  </si>
  <si>
    <t xml:space="preserve">Cabina</t>
  </si>
  <si>
    <t xml:space="preserve">Leroy Merlin; ~0,5m²</t>
  </si>
  <si>
    <t xml:space="preserve">Frontisses, imants tancament cabina</t>
  </si>
  <si>
    <t xml:space="preserve">Cargols i reblons (assortit)</t>
  </si>
  <si>
    <t xml:space="preserve">Ferramenta</t>
  </si>
  <si>
    <t xml:space="preserve">Pintura / tractament superficial</t>
  </si>
  <si>
    <t xml:space="preserve">Acabats</t>
  </si>
  <si>
    <t xml:space="preserve">Imprevistos (10%)</t>
  </si>
  <si>
    <t xml:space="preserve">Contingència</t>
  </si>
  <si>
    <t xml:space="preserve">TOTAL ESTIMAT</t>
  </si>
  <si>
    <t xml:space="preserve">Riscos Tècnics · Elevador de Plats</t>
  </si>
  <si>
    <t xml:space="preserve">  REGISTRE DE RISCOS TÈCNICS</t>
  </si>
  <si>
    <t xml:space="preserve">Risc</t>
  </si>
  <si>
    <t xml:space="preserve">Probabilitat</t>
  </si>
  <si>
    <t xml:space="preserve">Impacte</t>
  </si>
  <si>
    <t xml:space="preserve">Mesures de mitigació</t>
  </si>
  <si>
    <t xml:space="preserve">Responsable</t>
  </si>
  <si>
    <t xml:space="preserve">Dany estructural al sostre en fer el forat</t>
  </si>
  <si>
    <t xml:space="preserve">Alt</t>
  </si>
  <si>
    <t xml:space="preserve">Consultar aparejador abans d'obrir; identificar biguetes</t>
  </si>
  <si>
    <t xml:space="preserve">Obert</t>
  </si>
  <si>
    <t xml:space="preserve">Sobreescalfament del motor en cicles llargs</t>
  </si>
  <si>
    <t xml:space="preserve">Mig</t>
  </si>
  <si>
    <t xml:space="preserve">Motor amb duty cycle ≥50%; sensor tèrmic de protecció</t>
  </si>
  <si>
    <t xml:space="preserve">Cost final superior al pressupost (+20%)</t>
  </si>
  <si>
    <t xml:space="preserve">Fer llista definitiva i cotitzar abans de comprar cap peça</t>
  </si>
  <si>
    <t xml:space="preserve">Cable d'acer trenca per fatiga</t>
  </si>
  <si>
    <t xml:space="preserve">Baixa</t>
  </si>
  <si>
    <t xml:space="preserve">Factor de seguretat ×4 en la selecció; inspecció periòdica</t>
  </si>
  <si>
    <t xml:space="preserve">Cabina atrapada a mig recorregut (fallada motor)</t>
  </si>
  <si>
    <t xml:space="preserve">Alliberament manual de la cabina per gravetat; interruptor d'emergència</t>
  </si>
  <si>
    <t xml:space="preserve">Restriccions normatives / prohibició veïnal</t>
  </si>
  <si>
    <t xml:space="preserve">Baix</t>
  </si>
  <si>
    <t xml:space="preserve">Ús privatiu; no requereix homologació; informar família</t>
  </si>
  <si>
    <t xml:space="preserve">Tancat</t>
  </si>
  <si>
    <t xml:space="preserve">Soroll excessiu del motor en funcionament</t>
  </si>
  <si>
    <t xml:space="preserve">Seleccionar motor silenciós; amortir la fixació a l'estructura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</si>
</sst>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"/>
    <numFmt numFmtId="166" formatCode="0\%"/>
    <numFmt numFmtId="167" formatCode="#,##0.00&quot; €&quot;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1E8449"/>
      <name val="Arial"/>
      <family val="0"/>
      <charset val="1"/>
    </font>
    <font>
      <b val="true"/>
      <sz val="10"/>
      <color rgb="FFB7950B"/>
      <name val="Arial"/>
      <family val="0"/>
      <charset val="1"/>
    </font>
    <font>
      <b val="true"/>
      <sz val="10"/>
      <color rgb="FF717D7E"/>
      <name val="Arial"/>
      <family val="0"/>
      <charset val="1"/>
    </font>
    <font>
      <b val="true"/>
      <sz val="10"/>
      <color rgb="FF922B21"/>
      <name val="Arial"/>
      <family val="0"/>
      <charset val="1"/>
    </font>
    <font>
      <b val="true"/>
      <sz val="1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4A2C0A"/>
        <bgColor rgb="FF333333"/>
      </patternFill>
    </fill>
    <fill>
      <patternFill patternType="solid">
        <fgColor rgb="FF5D6D7E"/>
        <bgColor rgb="FF717D7E"/>
      </patternFill>
    </fill>
    <fill>
      <patternFill patternType="solid">
        <fgColor rgb="FFEBF5FB"/>
        <bgColor rgb="FFFFFFFF"/>
      </patternFill>
    </fill>
    <fill>
      <patternFill patternType="solid">
        <fgColor rgb="FFFFFFFF"/>
        <bgColor rgb="FFEBF5FB"/>
      </patternFill>
    </fill>
    <fill>
      <patternFill patternType="solid">
        <fgColor rgb="FF7D6608"/>
        <bgColor rgb="FF5D6D7E"/>
      </patternFill>
    </fill>
    <fill>
      <patternFill patternType="solid">
        <fgColor rgb="FFD5E8D0"/>
        <bgColor rgb="FFEBF5F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7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7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7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12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D6608"/>
      <rgbColor rgb="FF800080"/>
      <rgbColor rgb="FF008080"/>
      <rgbColor rgb="FFC0C0C0"/>
      <rgbColor rgb="FF717D7E"/>
      <rgbColor rgb="FF9999FF"/>
      <rgbColor rgb="FF993366"/>
      <rgbColor rgb="FFFFFFCC"/>
      <rgbColor rgb="FFEBF5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5E8D0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B7950B"/>
      <rgbColor rgb="FFFF6600"/>
      <rgbColor rgb="FF5D6D7E"/>
      <rgbColor rgb="FF969696"/>
      <rgbColor rgb="FF003366"/>
      <rgbColor rgb="FF1E8449"/>
      <rgbColor rgb="FF003300"/>
      <rgbColor rgb="FF4A2C0A"/>
      <rgbColor rgb="FF922B21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8"/>
    <col collapsed="false" customWidth="true" hidden="false" outlineLevel="0" max="4" min="3" style="0" width="14"/>
    <col collapsed="false" customWidth="true" hidden="false" outlineLevel="0" max="5" min="5" style="0" width="12"/>
    <col collapsed="false" customWidth="true" hidden="false" outlineLevel="0" max="7" min="6" style="0" width="16"/>
    <col collapsed="false" customWidth="true" hidden="false" outlineLevel="0" max="8" min="8" style="0" width="18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18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</row>
    <row r="4" customFormat="false" ht="15" hidden="false" customHeight="false" outlineLevel="0" collapsed="false">
      <c r="A4" s="4" t="s">
        <v>3</v>
      </c>
      <c r="B4" s="4" t="s">
        <v>4</v>
      </c>
      <c r="C4" s="4" t="s">
        <v>5</v>
      </c>
      <c r="D4" s="4" t="s">
        <v>6</v>
      </c>
    </row>
    <row r="5" customFormat="false" ht="23.85" hidden="false" customHeight="false" outlineLevel="0" collapsed="false">
      <c r="A5" s="5" t="s">
        <v>7</v>
      </c>
      <c r="B5" s="6" t="n">
        <f aca="false">IFERROR(AVERAGE(Fases!F4:F9),0)</f>
        <v>28</v>
      </c>
      <c r="C5" s="5" t="s">
        <v>8</v>
      </c>
      <c r="D5" s="5" t="s">
        <v>9</v>
      </c>
    </row>
    <row r="6" customFormat="false" ht="15" hidden="false" customHeight="false" outlineLevel="0" collapsed="false">
      <c r="A6" s="7" t="s">
        <v>10</v>
      </c>
      <c r="B6" s="8" t="n">
        <f aca="false">COUNTIF(Fases!G4:G9,"Completat")</f>
        <v>1</v>
      </c>
      <c r="C6" s="7" t="s">
        <v>11</v>
      </c>
      <c r="D6" s="7"/>
    </row>
    <row r="7" customFormat="false" ht="15" hidden="false" customHeight="false" outlineLevel="0" collapsed="false">
      <c r="A7" s="5" t="s">
        <v>12</v>
      </c>
      <c r="B7" s="6" t="n">
        <f aca="false">COUNTIF(Tasques!D4:D25,"Completat")</f>
        <v>0</v>
      </c>
      <c r="C7" s="5" t="s">
        <v>13</v>
      </c>
      <c r="D7" s="5"/>
    </row>
    <row r="8" customFormat="false" ht="15" hidden="false" customHeight="false" outlineLevel="0" collapsed="false">
      <c r="A8" s="7" t="s">
        <v>14</v>
      </c>
      <c r="B8" s="8" t="n">
        <f aca="false">COUNTIF(Tasques!D4:D25,"Pendent")</f>
        <v>0</v>
      </c>
      <c r="C8" s="7" t="s">
        <v>13</v>
      </c>
      <c r="D8" s="7"/>
    </row>
    <row r="9" customFormat="false" ht="15" hidden="false" customHeight="false" outlineLevel="0" collapsed="false">
      <c r="A9" s="5" t="s">
        <v>15</v>
      </c>
      <c r="B9" s="6" t="n">
        <f aca="false">SUM(Pressupost!D5:D25)</f>
        <v>45</v>
      </c>
      <c r="C9" s="5" t="s">
        <v>16</v>
      </c>
      <c r="D9" s="5"/>
    </row>
    <row r="10" customFormat="false" ht="35.05" hidden="false" customHeight="false" outlineLevel="0" collapsed="false">
      <c r="A10" s="7" t="s">
        <v>17</v>
      </c>
      <c r="B10" s="8" t="n">
        <f aca="false">SUM(Pressupost!E5:E25)</f>
        <v>176</v>
      </c>
      <c r="C10" s="7" t="s">
        <v>16</v>
      </c>
      <c r="D10" s="7" t="s">
        <v>18</v>
      </c>
    </row>
    <row r="11" customFormat="false" ht="35.05" hidden="false" customHeight="false" outlineLevel="0" collapsed="false">
      <c r="A11" s="5" t="s">
        <v>19</v>
      </c>
      <c r="B11" s="6" t="n">
        <f aca="false">SUM(Pressupost!E5:E25)-SUM(Pressupost!D5:D25)</f>
        <v>131</v>
      </c>
      <c r="C11" s="5" t="s">
        <v>16</v>
      </c>
      <c r="D11" s="5" t="s">
        <v>20</v>
      </c>
    </row>
    <row r="12" customFormat="false" ht="15" hidden="false" customHeight="false" outlineLevel="0" collapsed="false">
      <c r="A12" s="7" t="s">
        <v>21</v>
      </c>
      <c r="B12" s="8" t="n">
        <f aca="false">COUNTIFS(Riscos!C4:C15,"Alta",Riscos!G4:G15,"Obert")</f>
        <v>0</v>
      </c>
      <c r="C12" s="7" t="s">
        <v>13</v>
      </c>
      <c r="D12" s="7"/>
    </row>
    <row r="14" customFormat="false" ht="18" hidden="false" customHeight="true" outlineLevel="0" collapsed="false">
      <c r="A14" s="3" t="s">
        <v>22</v>
      </c>
      <c r="B14" s="3"/>
      <c r="C14" s="3"/>
      <c r="D14" s="3"/>
      <c r="E14" s="3"/>
      <c r="F14" s="3"/>
      <c r="G14" s="3"/>
      <c r="H14" s="3"/>
    </row>
    <row r="15" customFormat="false" ht="15" hidden="false" customHeight="false" outlineLevel="0" collapsed="false">
      <c r="A15" s="9" t="s">
        <v>23</v>
      </c>
      <c r="B15" s="9" t="s">
        <v>4</v>
      </c>
      <c r="C15" s="9" t="s">
        <v>5</v>
      </c>
      <c r="D15" s="9" t="s">
        <v>24</v>
      </c>
    </row>
    <row r="16" customFormat="false" ht="23.85" hidden="false" customHeight="false" outlineLevel="0" collapsed="false">
      <c r="A16" s="5" t="s">
        <v>25</v>
      </c>
      <c r="B16" s="5" t="s">
        <v>26</v>
      </c>
      <c r="C16" s="5"/>
      <c r="D16" s="5"/>
    </row>
    <row r="17" customFormat="false" ht="35.05" hidden="false" customHeight="false" outlineLevel="0" collapsed="false">
      <c r="A17" s="7" t="s">
        <v>27</v>
      </c>
      <c r="B17" s="7" t="s">
        <v>28</v>
      </c>
      <c r="C17" s="7" t="s">
        <v>29</v>
      </c>
      <c r="D17" s="7" t="s">
        <v>30</v>
      </c>
    </row>
    <row r="18" customFormat="false" ht="35.05" hidden="false" customHeight="false" outlineLevel="0" collapsed="false">
      <c r="A18" s="5" t="s">
        <v>31</v>
      </c>
      <c r="B18" s="5" t="s">
        <v>32</v>
      </c>
      <c r="C18" s="5" t="s">
        <v>33</v>
      </c>
      <c r="D18" s="5" t="s">
        <v>34</v>
      </c>
    </row>
    <row r="19" customFormat="false" ht="23.85" hidden="false" customHeight="false" outlineLevel="0" collapsed="false">
      <c r="A19" s="7" t="s">
        <v>35</v>
      </c>
      <c r="B19" s="7" t="s">
        <v>36</v>
      </c>
      <c r="C19" s="7" t="s">
        <v>37</v>
      </c>
      <c r="D19" s="7" t="s">
        <v>38</v>
      </c>
    </row>
    <row r="20" customFormat="false" ht="23.85" hidden="false" customHeight="false" outlineLevel="0" collapsed="false">
      <c r="A20" s="5" t="s">
        <v>39</v>
      </c>
      <c r="B20" s="5" t="s">
        <v>40</v>
      </c>
      <c r="C20" s="5"/>
      <c r="D20" s="5" t="s">
        <v>41</v>
      </c>
    </row>
    <row r="21" customFormat="false" ht="15" hidden="false" customHeight="false" outlineLevel="0" collapsed="false">
      <c r="A21" s="7" t="s">
        <v>42</v>
      </c>
      <c r="B21" s="7" t="s">
        <v>43</v>
      </c>
      <c r="C21" s="7" t="s">
        <v>44</v>
      </c>
      <c r="D21" s="7" t="s">
        <v>45</v>
      </c>
    </row>
    <row r="22" customFormat="false" ht="23.85" hidden="false" customHeight="false" outlineLevel="0" collapsed="false">
      <c r="A22" s="5" t="s">
        <v>46</v>
      </c>
      <c r="B22" s="5" t="s">
        <v>47</v>
      </c>
      <c r="C22" s="5"/>
      <c r="D22" s="5"/>
    </row>
    <row r="23" customFormat="false" ht="23.85" hidden="false" customHeight="false" outlineLevel="0" collapsed="false">
      <c r="A23" s="7" t="s">
        <v>48</v>
      </c>
      <c r="B23" s="7" t="s">
        <v>49</v>
      </c>
      <c r="C23" s="7"/>
      <c r="D23" s="7" t="s">
        <v>50</v>
      </c>
    </row>
    <row r="24" customFormat="false" ht="23.85" hidden="false" customHeight="false" outlineLevel="0" collapsed="false">
      <c r="A24" s="5" t="s">
        <v>51</v>
      </c>
      <c r="B24" s="5" t="s">
        <v>52</v>
      </c>
      <c r="C24" s="5"/>
      <c r="D24" s="5" t="s">
        <v>53</v>
      </c>
    </row>
  </sheetData>
  <mergeCells count="4">
    <mergeCell ref="A1:H1"/>
    <mergeCell ref="A2:H2"/>
    <mergeCell ref="A3:H3"/>
    <mergeCell ref="A14:H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36"/>
    <col collapsed="false" customWidth="true" hidden="false" outlineLevel="0" max="5" min="4" style="0" width="14"/>
    <col collapsed="false" customWidth="true" hidden="false" outlineLevel="0" max="6" min="6" style="0" width="10"/>
    <col collapsed="false" customWidth="true" hidden="false" outlineLevel="0" max="7" min="7" style="0" width="14"/>
    <col collapsed="false" customWidth="true" hidden="false" outlineLevel="0" max="8" min="8" style="0" width="22"/>
  </cols>
  <sheetData>
    <row r="1" customFormat="false" ht="36" hidden="false" customHeight="true" outlineLevel="0" collapsed="false">
      <c r="A1" s="1" t="s">
        <v>54</v>
      </c>
      <c r="B1" s="1"/>
      <c r="C1" s="1"/>
      <c r="D1" s="1"/>
      <c r="E1" s="1"/>
      <c r="F1" s="1"/>
      <c r="G1" s="1"/>
      <c r="H1" s="1"/>
    </row>
    <row r="2" customFormat="false" ht="19.5" hidden="false" customHeight="true" outlineLevel="0" collapsed="false">
      <c r="A2" s="2"/>
      <c r="B2" s="2"/>
      <c r="C2" s="2"/>
      <c r="D2" s="2"/>
      <c r="E2" s="2"/>
      <c r="F2" s="2"/>
      <c r="G2" s="2"/>
      <c r="H2" s="2"/>
    </row>
    <row r="3" customFormat="false" ht="18" hidden="false" customHeight="true" outlineLevel="0" collapsed="false">
      <c r="A3" s="3" t="s">
        <v>55</v>
      </c>
      <c r="B3" s="3"/>
      <c r="C3" s="3"/>
      <c r="D3" s="3"/>
      <c r="E3" s="3"/>
      <c r="F3" s="3"/>
      <c r="G3" s="3"/>
      <c r="H3" s="3"/>
    </row>
    <row r="4" customFormat="false" ht="15" hidden="false" customHeight="false" outlineLevel="0" collapsed="false">
      <c r="A4" s="4" t="s">
        <v>56</v>
      </c>
      <c r="B4" s="4" t="s">
        <v>57</v>
      </c>
      <c r="C4" s="4" t="s">
        <v>58</v>
      </c>
      <c r="D4" s="4" t="s">
        <v>59</v>
      </c>
      <c r="E4" s="4" t="s">
        <v>60</v>
      </c>
      <c r="F4" s="4" t="s">
        <v>61</v>
      </c>
      <c r="G4" s="4" t="s">
        <v>62</v>
      </c>
      <c r="H4" s="4" t="s">
        <v>63</v>
      </c>
    </row>
    <row r="5" customFormat="false" ht="39.75" hidden="false" customHeight="true" outlineLevel="0" collapsed="false">
      <c r="A5" s="10" t="n">
        <v>1</v>
      </c>
      <c r="B5" s="5" t="s">
        <v>64</v>
      </c>
      <c r="C5" s="5" t="s">
        <v>65</v>
      </c>
      <c r="D5" s="5" t="s">
        <v>66</v>
      </c>
      <c r="E5" s="5" t="s">
        <v>67</v>
      </c>
      <c r="F5" s="11" t="n">
        <v>100</v>
      </c>
      <c r="G5" s="12" t="s">
        <v>68</v>
      </c>
      <c r="H5" s="5" t="s">
        <v>69</v>
      </c>
    </row>
    <row r="6" customFormat="false" ht="39.75" hidden="false" customHeight="true" outlineLevel="0" collapsed="false">
      <c r="A6" s="13" t="n">
        <v>2</v>
      </c>
      <c r="B6" s="7" t="s">
        <v>70</v>
      </c>
      <c r="C6" s="7" t="s">
        <v>71</v>
      </c>
      <c r="D6" s="7" t="s">
        <v>72</v>
      </c>
      <c r="E6" s="7" t="s">
        <v>73</v>
      </c>
      <c r="F6" s="14" t="n">
        <v>40</v>
      </c>
      <c r="G6" s="15" t="s">
        <v>74</v>
      </c>
      <c r="H6" s="7" t="s">
        <v>75</v>
      </c>
    </row>
    <row r="7" customFormat="false" ht="39.75" hidden="false" customHeight="true" outlineLevel="0" collapsed="false">
      <c r="A7" s="10" t="n">
        <v>3</v>
      </c>
      <c r="B7" s="5" t="s">
        <v>76</v>
      </c>
      <c r="C7" s="5" t="s">
        <v>77</v>
      </c>
      <c r="D7" s="5" t="s">
        <v>78</v>
      </c>
      <c r="E7" s="5" t="s">
        <v>79</v>
      </c>
      <c r="F7" s="11" t="n">
        <v>0</v>
      </c>
      <c r="G7" s="16" t="s">
        <v>80</v>
      </c>
      <c r="H7" s="5"/>
    </row>
    <row r="8" customFormat="false" ht="39.75" hidden="false" customHeight="true" outlineLevel="0" collapsed="false">
      <c r="A8" s="13" t="n">
        <v>4</v>
      </c>
      <c r="B8" s="7" t="s">
        <v>81</v>
      </c>
      <c r="C8" s="7" t="s">
        <v>82</v>
      </c>
      <c r="D8" s="7" t="s">
        <v>83</v>
      </c>
      <c r="E8" s="7" t="s">
        <v>84</v>
      </c>
      <c r="F8" s="14" t="n">
        <v>0</v>
      </c>
      <c r="G8" s="17" t="s">
        <v>80</v>
      </c>
      <c r="H8" s="7" t="s">
        <v>85</v>
      </c>
    </row>
    <row r="9" customFormat="false" ht="39.75" hidden="false" customHeight="true" outlineLevel="0" collapsed="false">
      <c r="A9" s="10" t="n">
        <v>5</v>
      </c>
      <c r="B9" s="5" t="s">
        <v>86</v>
      </c>
      <c r="C9" s="5" t="s">
        <v>87</v>
      </c>
      <c r="D9" s="5" t="s">
        <v>88</v>
      </c>
      <c r="E9" s="5" t="s">
        <v>89</v>
      </c>
      <c r="F9" s="11" t="n">
        <v>0</v>
      </c>
      <c r="G9" s="16" t="s">
        <v>80</v>
      </c>
      <c r="H9" s="5"/>
    </row>
    <row r="10" customFormat="false" ht="39.75" hidden="false" customHeight="true" outlineLevel="0" collapsed="false">
      <c r="A10" s="13" t="n">
        <v>6</v>
      </c>
      <c r="B10" s="7" t="s">
        <v>90</v>
      </c>
      <c r="C10" s="7" t="s">
        <v>91</v>
      </c>
      <c r="D10" s="7" t="s">
        <v>92</v>
      </c>
      <c r="E10" s="7" t="s">
        <v>93</v>
      </c>
      <c r="F10" s="14" t="n">
        <v>0</v>
      </c>
      <c r="G10" s="17" t="s">
        <v>80</v>
      </c>
      <c r="H10" s="7" t="s">
        <v>94</v>
      </c>
    </row>
  </sheetData>
  <mergeCells count="3">
    <mergeCell ref="A1:H1"/>
    <mergeCell ref="A2:H2"/>
    <mergeCell ref="A3: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8"/>
    <col collapsed="false" customWidth="true" hidden="false" outlineLevel="0" max="3" min="3" style="0" width="20"/>
    <col collapsed="false" customWidth="true" hidden="false" outlineLevel="0" max="5" min="4" style="0" width="14"/>
    <col collapsed="false" customWidth="true" hidden="false" outlineLevel="0" max="6" min="6" style="0" width="10"/>
    <col collapsed="false" customWidth="true" hidden="false" outlineLevel="0" max="7" min="7" style="0" width="28"/>
  </cols>
  <sheetData>
    <row r="1" customFormat="false" ht="36" hidden="false" customHeight="true" outlineLevel="0" collapsed="false">
      <c r="A1" s="1" t="s">
        <v>95</v>
      </c>
      <c r="B1" s="1"/>
      <c r="C1" s="1"/>
      <c r="D1" s="1"/>
      <c r="E1" s="1"/>
      <c r="F1" s="1"/>
      <c r="G1" s="1"/>
      <c r="H1" s="1"/>
    </row>
    <row r="2" customFormat="false" ht="19.5" hidden="false" customHeight="true" outlineLevel="0" collapsed="false">
      <c r="A2" s="2"/>
      <c r="B2" s="2"/>
      <c r="C2" s="2"/>
      <c r="D2" s="2"/>
      <c r="E2" s="2"/>
      <c r="F2" s="2"/>
      <c r="G2" s="2"/>
      <c r="H2" s="2"/>
    </row>
    <row r="3" customFormat="false" ht="18" hidden="false" customHeight="true" outlineLevel="0" collapsed="false">
      <c r="A3" s="3" t="s">
        <v>96</v>
      </c>
      <c r="B3" s="3"/>
      <c r="C3" s="3"/>
      <c r="D3" s="3"/>
      <c r="E3" s="3"/>
      <c r="F3" s="3"/>
      <c r="G3" s="3"/>
    </row>
    <row r="4" customFormat="false" ht="15" hidden="false" customHeight="false" outlineLevel="0" collapsed="false">
      <c r="A4" s="4" t="s">
        <v>56</v>
      </c>
      <c r="B4" s="4" t="s">
        <v>97</v>
      </c>
      <c r="C4" s="4" t="s">
        <v>57</v>
      </c>
      <c r="D4" s="4" t="s">
        <v>98</v>
      </c>
      <c r="E4" s="4" t="s">
        <v>62</v>
      </c>
      <c r="F4" s="4" t="s">
        <v>99</v>
      </c>
      <c r="G4" s="4" t="s">
        <v>100</v>
      </c>
    </row>
    <row r="5" customFormat="false" ht="15" hidden="false" customHeight="false" outlineLevel="0" collapsed="false">
      <c r="A5" s="10" t="n">
        <v>1</v>
      </c>
      <c r="B5" s="5" t="s">
        <v>101</v>
      </c>
      <c r="C5" s="5" t="s">
        <v>102</v>
      </c>
      <c r="D5" s="18" t="s">
        <v>103</v>
      </c>
      <c r="E5" s="12" t="s">
        <v>68</v>
      </c>
      <c r="F5" s="11" t="n">
        <v>100</v>
      </c>
      <c r="G5" s="5" t="s">
        <v>104</v>
      </c>
    </row>
    <row r="6" customFormat="false" ht="23.85" hidden="false" customHeight="false" outlineLevel="0" collapsed="false">
      <c r="A6" s="13" t="n">
        <v>2</v>
      </c>
      <c r="B6" s="7" t="s">
        <v>105</v>
      </c>
      <c r="C6" s="7" t="s">
        <v>102</v>
      </c>
      <c r="D6" s="19" t="s">
        <v>103</v>
      </c>
      <c r="E6" s="20" t="s">
        <v>68</v>
      </c>
      <c r="F6" s="14" t="n">
        <v>100</v>
      </c>
      <c r="G6" s="7" t="s">
        <v>106</v>
      </c>
    </row>
    <row r="7" customFormat="false" ht="23.85" hidden="false" customHeight="false" outlineLevel="0" collapsed="false">
      <c r="A7" s="10" t="n">
        <v>3</v>
      </c>
      <c r="B7" s="5" t="s">
        <v>107</v>
      </c>
      <c r="C7" s="5" t="s">
        <v>108</v>
      </c>
      <c r="D7" s="18" t="s">
        <v>103</v>
      </c>
      <c r="E7" s="12" t="s">
        <v>68</v>
      </c>
      <c r="F7" s="11" t="n">
        <v>100</v>
      </c>
      <c r="G7" s="5" t="s">
        <v>109</v>
      </c>
    </row>
    <row r="8" customFormat="false" ht="23.85" hidden="false" customHeight="false" outlineLevel="0" collapsed="false">
      <c r="A8" s="13" t="n">
        <v>4</v>
      </c>
      <c r="B8" s="7" t="s">
        <v>110</v>
      </c>
      <c r="C8" s="7" t="s">
        <v>108</v>
      </c>
      <c r="D8" s="19" t="s">
        <v>103</v>
      </c>
      <c r="E8" s="15" t="s">
        <v>74</v>
      </c>
      <c r="F8" s="14" t="n">
        <v>60</v>
      </c>
      <c r="G8" s="7" t="s">
        <v>111</v>
      </c>
    </row>
    <row r="9" customFormat="false" ht="23.85" hidden="false" customHeight="false" outlineLevel="0" collapsed="false">
      <c r="A9" s="10" t="n">
        <v>5</v>
      </c>
      <c r="B9" s="5" t="s">
        <v>112</v>
      </c>
      <c r="C9" s="5" t="s">
        <v>108</v>
      </c>
      <c r="D9" s="18" t="s">
        <v>103</v>
      </c>
      <c r="E9" s="21" t="s">
        <v>74</v>
      </c>
      <c r="F9" s="11" t="n">
        <v>20</v>
      </c>
      <c r="G9" s="5" t="s">
        <v>113</v>
      </c>
    </row>
    <row r="10" customFormat="false" ht="23.85" hidden="false" customHeight="false" outlineLevel="0" collapsed="false">
      <c r="A10" s="13" t="n">
        <v>6</v>
      </c>
      <c r="B10" s="7" t="s">
        <v>114</v>
      </c>
      <c r="C10" s="7" t="s">
        <v>108</v>
      </c>
      <c r="D10" s="15" t="s">
        <v>115</v>
      </c>
      <c r="E10" s="17" t="s">
        <v>80</v>
      </c>
      <c r="F10" s="14" t="n">
        <v>0</v>
      </c>
      <c r="G10" s="7" t="s">
        <v>116</v>
      </c>
    </row>
    <row r="11" customFormat="false" ht="15" hidden="false" customHeight="false" outlineLevel="0" collapsed="false">
      <c r="A11" s="10" t="n">
        <v>7</v>
      </c>
      <c r="B11" s="5" t="s">
        <v>117</v>
      </c>
      <c r="C11" s="5" t="s">
        <v>108</v>
      </c>
      <c r="D11" s="21" t="s">
        <v>115</v>
      </c>
      <c r="E11" s="16" t="s">
        <v>80</v>
      </c>
      <c r="F11" s="11" t="n">
        <v>0</v>
      </c>
      <c r="G11" s="5" t="s">
        <v>118</v>
      </c>
    </row>
    <row r="12" customFormat="false" ht="15" hidden="false" customHeight="false" outlineLevel="0" collapsed="false">
      <c r="A12" s="13" t="n">
        <v>8</v>
      </c>
      <c r="B12" s="7" t="s">
        <v>119</v>
      </c>
      <c r="C12" s="7" t="s">
        <v>120</v>
      </c>
      <c r="D12" s="19" t="s">
        <v>103</v>
      </c>
      <c r="E12" s="17" t="s">
        <v>80</v>
      </c>
      <c r="F12" s="14" t="n">
        <v>0</v>
      </c>
      <c r="G12" s="7" t="s">
        <v>121</v>
      </c>
    </row>
    <row r="13" customFormat="false" ht="15" hidden="false" customHeight="false" outlineLevel="0" collapsed="false">
      <c r="A13" s="10" t="n">
        <v>9</v>
      </c>
      <c r="B13" s="5" t="s">
        <v>122</v>
      </c>
      <c r="C13" s="5" t="s">
        <v>120</v>
      </c>
      <c r="D13" s="18" t="s">
        <v>103</v>
      </c>
      <c r="E13" s="16" t="s">
        <v>80</v>
      </c>
      <c r="F13" s="11" t="n">
        <v>0</v>
      </c>
      <c r="G13" s="5" t="s">
        <v>123</v>
      </c>
    </row>
    <row r="14" customFormat="false" ht="15" hidden="false" customHeight="false" outlineLevel="0" collapsed="false">
      <c r="A14" s="13" t="n">
        <v>10</v>
      </c>
      <c r="B14" s="7" t="s">
        <v>124</v>
      </c>
      <c r="C14" s="7" t="s">
        <v>120</v>
      </c>
      <c r="D14" s="19" t="s">
        <v>103</v>
      </c>
      <c r="E14" s="17" t="s">
        <v>80</v>
      </c>
      <c r="F14" s="14" t="n">
        <v>0</v>
      </c>
      <c r="G14" s="7"/>
    </row>
    <row r="15" customFormat="false" ht="15" hidden="false" customHeight="false" outlineLevel="0" collapsed="false">
      <c r="A15" s="10" t="n">
        <v>11</v>
      </c>
      <c r="B15" s="5" t="s">
        <v>125</v>
      </c>
      <c r="C15" s="5" t="s">
        <v>126</v>
      </c>
      <c r="D15" s="18" t="s">
        <v>103</v>
      </c>
      <c r="E15" s="16" t="s">
        <v>80</v>
      </c>
      <c r="F15" s="11" t="n">
        <v>0</v>
      </c>
      <c r="G15" s="5" t="s">
        <v>127</v>
      </c>
    </row>
    <row r="16" customFormat="false" ht="23.85" hidden="false" customHeight="false" outlineLevel="0" collapsed="false">
      <c r="A16" s="13" t="n">
        <v>12</v>
      </c>
      <c r="B16" s="7" t="s">
        <v>128</v>
      </c>
      <c r="C16" s="7" t="s">
        <v>126</v>
      </c>
      <c r="D16" s="19" t="s">
        <v>103</v>
      </c>
      <c r="E16" s="17" t="s">
        <v>80</v>
      </c>
      <c r="F16" s="14" t="n">
        <v>0</v>
      </c>
      <c r="G16" s="7" t="s">
        <v>129</v>
      </c>
    </row>
    <row r="17" customFormat="false" ht="23.85" hidden="false" customHeight="false" outlineLevel="0" collapsed="false">
      <c r="A17" s="10" t="n">
        <v>13</v>
      </c>
      <c r="B17" s="5" t="s">
        <v>130</v>
      </c>
      <c r="C17" s="5" t="s">
        <v>126</v>
      </c>
      <c r="D17" s="18" t="s">
        <v>103</v>
      </c>
      <c r="E17" s="16" t="s">
        <v>80</v>
      </c>
      <c r="F17" s="11" t="n">
        <v>0</v>
      </c>
      <c r="G17" s="5" t="s">
        <v>131</v>
      </c>
    </row>
    <row r="18" customFormat="false" ht="15" hidden="false" customHeight="false" outlineLevel="0" collapsed="false">
      <c r="A18" s="13" t="n">
        <v>14</v>
      </c>
      <c r="B18" s="7" t="s">
        <v>132</v>
      </c>
      <c r="C18" s="7" t="s">
        <v>126</v>
      </c>
      <c r="D18" s="19" t="s">
        <v>103</v>
      </c>
      <c r="E18" s="17" t="s">
        <v>80</v>
      </c>
      <c r="F18" s="14" t="n">
        <v>0</v>
      </c>
      <c r="G18" s="7"/>
    </row>
    <row r="19" customFormat="false" ht="15" hidden="false" customHeight="false" outlineLevel="0" collapsed="false">
      <c r="A19" s="10" t="n">
        <v>15</v>
      </c>
      <c r="B19" s="5" t="s">
        <v>133</v>
      </c>
      <c r="C19" s="5" t="s">
        <v>134</v>
      </c>
      <c r="D19" s="18" t="s">
        <v>103</v>
      </c>
      <c r="E19" s="16" t="s">
        <v>80</v>
      </c>
      <c r="F19" s="11" t="n">
        <v>0</v>
      </c>
      <c r="G19" s="5" t="s">
        <v>135</v>
      </c>
    </row>
    <row r="20" customFormat="false" ht="15" hidden="false" customHeight="false" outlineLevel="0" collapsed="false">
      <c r="A20" s="13" t="n">
        <v>16</v>
      </c>
      <c r="B20" s="7" t="s">
        <v>136</v>
      </c>
      <c r="C20" s="7" t="s">
        <v>134</v>
      </c>
      <c r="D20" s="19" t="s">
        <v>103</v>
      </c>
      <c r="E20" s="17" t="s">
        <v>80</v>
      </c>
      <c r="F20" s="14" t="n">
        <v>0</v>
      </c>
      <c r="G20" s="7" t="s">
        <v>137</v>
      </c>
    </row>
    <row r="21" customFormat="false" ht="15" hidden="false" customHeight="false" outlineLevel="0" collapsed="false">
      <c r="A21" s="10" t="n">
        <v>17</v>
      </c>
      <c r="B21" s="5" t="s">
        <v>138</v>
      </c>
      <c r="C21" s="5" t="s">
        <v>134</v>
      </c>
      <c r="D21" s="18" t="s">
        <v>103</v>
      </c>
      <c r="E21" s="16" t="s">
        <v>80</v>
      </c>
      <c r="F21" s="11" t="n">
        <v>0</v>
      </c>
      <c r="G21" s="5" t="s">
        <v>139</v>
      </c>
    </row>
    <row r="22" customFormat="false" ht="15" hidden="false" customHeight="false" outlineLevel="0" collapsed="false">
      <c r="A22" s="13" t="n">
        <v>18</v>
      </c>
      <c r="B22" s="7" t="s">
        <v>140</v>
      </c>
      <c r="C22" s="7" t="s">
        <v>141</v>
      </c>
      <c r="D22" s="19" t="s">
        <v>103</v>
      </c>
      <c r="E22" s="17" t="s">
        <v>80</v>
      </c>
      <c r="F22" s="14" t="n">
        <v>0</v>
      </c>
      <c r="G22" s="7" t="s">
        <v>142</v>
      </c>
    </row>
    <row r="23" customFormat="false" ht="15" hidden="false" customHeight="false" outlineLevel="0" collapsed="false">
      <c r="A23" s="10" t="n">
        <v>19</v>
      </c>
      <c r="B23" s="5" t="s">
        <v>143</v>
      </c>
      <c r="C23" s="5" t="s">
        <v>141</v>
      </c>
      <c r="D23" s="18" t="s">
        <v>103</v>
      </c>
      <c r="E23" s="16" t="s">
        <v>80</v>
      </c>
      <c r="F23" s="11" t="n">
        <v>0</v>
      </c>
      <c r="G23" s="5" t="s">
        <v>144</v>
      </c>
    </row>
    <row r="24" customFormat="false" ht="23.85" hidden="false" customHeight="false" outlineLevel="0" collapsed="false">
      <c r="A24" s="13" t="n">
        <v>20</v>
      </c>
      <c r="B24" s="7" t="s">
        <v>145</v>
      </c>
      <c r="C24" s="7" t="s">
        <v>141</v>
      </c>
      <c r="D24" s="19" t="s">
        <v>103</v>
      </c>
      <c r="E24" s="17" t="s">
        <v>80</v>
      </c>
      <c r="F24" s="14" t="n">
        <v>0</v>
      </c>
      <c r="G24" s="7"/>
    </row>
  </sheetData>
  <mergeCells count="3">
    <mergeCell ref="A1:H1"/>
    <mergeCell ref="A2:H2"/>
    <mergeCell ref="A3:G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2"/>
    <col collapsed="false" customWidth="true" hidden="false" outlineLevel="0" max="3" min="3" style="0" width="18"/>
    <col collapsed="false" customWidth="true" hidden="false" outlineLevel="0" max="4" min="4" style="0" width="6"/>
    <col collapsed="false" customWidth="true" hidden="false" outlineLevel="0" max="6" min="5" style="0" width="12"/>
    <col collapsed="false" customWidth="true" hidden="false" outlineLevel="0" max="7" min="7" style="0" width="16"/>
    <col collapsed="false" customWidth="true" hidden="false" outlineLevel="0" max="8" min="8" style="0" width="20"/>
  </cols>
  <sheetData>
    <row r="1" customFormat="false" ht="36" hidden="false" customHeight="true" outlineLevel="0" collapsed="false">
      <c r="A1" s="1" t="s">
        <v>146</v>
      </c>
      <c r="B1" s="1"/>
      <c r="C1" s="1"/>
      <c r="D1" s="1"/>
      <c r="E1" s="1"/>
      <c r="F1" s="1"/>
      <c r="G1" s="1"/>
      <c r="H1" s="1"/>
    </row>
    <row r="2" customFormat="false" ht="19.5" hidden="false" customHeight="true" outlineLevel="0" collapsed="false">
      <c r="A2" s="2"/>
      <c r="B2" s="2"/>
      <c r="C2" s="2"/>
      <c r="D2" s="2"/>
      <c r="E2" s="2"/>
      <c r="F2" s="2"/>
      <c r="G2" s="2"/>
      <c r="H2" s="2"/>
    </row>
    <row r="3" customFormat="false" ht="18" hidden="false" customHeight="true" outlineLevel="0" collapsed="false">
      <c r="A3" s="3" t="s">
        <v>147</v>
      </c>
      <c r="B3" s="3"/>
      <c r="C3" s="3"/>
      <c r="D3" s="3"/>
      <c r="E3" s="3"/>
      <c r="F3" s="3"/>
      <c r="G3" s="3"/>
      <c r="H3" s="3"/>
    </row>
    <row r="4" customFormat="false" ht="23.85" hidden="false" customHeight="false" outlineLevel="0" collapsed="false">
      <c r="A4" s="4" t="s">
        <v>56</v>
      </c>
      <c r="B4" s="4" t="s">
        <v>148</v>
      </c>
      <c r="C4" s="4" t="s">
        <v>149</v>
      </c>
      <c r="D4" s="4" t="s">
        <v>150</v>
      </c>
      <c r="E4" s="4" t="s">
        <v>151</v>
      </c>
      <c r="F4" s="4" t="s">
        <v>152</v>
      </c>
      <c r="G4" s="4" t="s">
        <v>153</v>
      </c>
      <c r="H4" s="4" t="s">
        <v>154</v>
      </c>
    </row>
    <row r="5" customFormat="false" ht="23.85" hidden="false" customHeight="false" outlineLevel="0" collapsed="false">
      <c r="A5" s="10" t="n">
        <v>1</v>
      </c>
      <c r="B5" s="5" t="s">
        <v>155</v>
      </c>
      <c r="C5" s="5" t="s">
        <v>39</v>
      </c>
      <c r="D5" s="5" t="n">
        <v>1</v>
      </c>
      <c r="E5" s="22" t="n">
        <v>45</v>
      </c>
      <c r="F5" s="22" t="n">
        <f aca="false">D5*E5</f>
        <v>45</v>
      </c>
      <c r="G5" s="22"/>
      <c r="H5" s="5" t="s">
        <v>156</v>
      </c>
    </row>
    <row r="6" customFormat="false" ht="15" hidden="false" customHeight="false" outlineLevel="0" collapsed="false">
      <c r="A6" s="13" t="n">
        <v>2</v>
      </c>
      <c r="B6" s="7" t="s">
        <v>157</v>
      </c>
      <c r="C6" s="7" t="s">
        <v>134</v>
      </c>
      <c r="D6" s="7" t="n">
        <v>1</v>
      </c>
      <c r="E6" s="23" t="n">
        <v>15</v>
      </c>
      <c r="F6" s="23" t="n">
        <f aca="false">D6*E6</f>
        <v>15</v>
      </c>
      <c r="G6" s="23"/>
      <c r="H6" s="7"/>
    </row>
    <row r="7" customFormat="false" ht="23.85" hidden="false" customHeight="false" outlineLevel="0" collapsed="false">
      <c r="A7" s="10" t="n">
        <v>3</v>
      </c>
      <c r="B7" s="5" t="s">
        <v>158</v>
      </c>
      <c r="C7" s="5" t="s">
        <v>134</v>
      </c>
      <c r="D7" s="5" t="n">
        <v>1</v>
      </c>
      <c r="E7" s="22" t="n">
        <v>8</v>
      </c>
      <c r="F7" s="22" t="n">
        <f aca="false">D7*E7</f>
        <v>8</v>
      </c>
      <c r="G7" s="22"/>
      <c r="H7" s="5"/>
    </row>
    <row r="8" customFormat="false" ht="15" hidden="false" customHeight="false" outlineLevel="0" collapsed="false">
      <c r="A8" s="13" t="n">
        <v>4</v>
      </c>
      <c r="B8" s="7" t="s">
        <v>159</v>
      </c>
      <c r="C8" s="7" t="s">
        <v>134</v>
      </c>
      <c r="D8" s="7" t="n">
        <v>2</v>
      </c>
      <c r="E8" s="23" t="n">
        <v>5</v>
      </c>
      <c r="F8" s="23" t="n">
        <f aca="false">D8*E8</f>
        <v>10</v>
      </c>
      <c r="G8" s="23"/>
      <c r="H8" s="7" t="s">
        <v>160</v>
      </c>
    </row>
    <row r="9" customFormat="false" ht="15" hidden="false" customHeight="false" outlineLevel="0" collapsed="false">
      <c r="A9" s="10" t="n">
        <v>5</v>
      </c>
      <c r="B9" s="5" t="s">
        <v>161</v>
      </c>
      <c r="C9" s="5" t="s">
        <v>134</v>
      </c>
      <c r="D9" s="5" t="n">
        <v>2</v>
      </c>
      <c r="E9" s="22" t="n">
        <v>3</v>
      </c>
      <c r="F9" s="22" t="n">
        <f aca="false">D9*E9</f>
        <v>6</v>
      </c>
      <c r="G9" s="22"/>
      <c r="H9" s="5"/>
    </row>
    <row r="10" customFormat="false" ht="15" hidden="false" customHeight="false" outlineLevel="0" collapsed="false">
      <c r="A10" s="13" t="n">
        <v>6</v>
      </c>
      <c r="B10" s="7" t="s">
        <v>162</v>
      </c>
      <c r="C10" s="7" t="s">
        <v>134</v>
      </c>
      <c r="D10" s="7" t="n">
        <v>1</v>
      </c>
      <c r="E10" s="23" t="n">
        <v>10</v>
      </c>
      <c r="F10" s="23" t="n">
        <f aca="false">D10*E10</f>
        <v>10</v>
      </c>
      <c r="G10" s="23"/>
      <c r="H10" s="7" t="s">
        <v>163</v>
      </c>
    </row>
    <row r="11" customFormat="false" ht="15" hidden="false" customHeight="false" outlineLevel="0" collapsed="false">
      <c r="A11" s="10" t="n">
        <v>7</v>
      </c>
      <c r="B11" s="5" t="s">
        <v>164</v>
      </c>
      <c r="C11" s="5" t="s">
        <v>165</v>
      </c>
      <c r="D11" s="5" t="n">
        <v>5</v>
      </c>
      <c r="E11" s="22" t="n">
        <v>3</v>
      </c>
      <c r="F11" s="22" t="n">
        <f aca="false">D11*E11</f>
        <v>15</v>
      </c>
      <c r="G11" s="22"/>
      <c r="H11" s="5" t="s">
        <v>166</v>
      </c>
    </row>
    <row r="12" customFormat="false" ht="15" hidden="false" customHeight="false" outlineLevel="0" collapsed="false">
      <c r="A12" s="13" t="n">
        <v>8</v>
      </c>
      <c r="B12" s="7" t="s">
        <v>167</v>
      </c>
      <c r="C12" s="7" t="s">
        <v>165</v>
      </c>
      <c r="D12" s="7" t="n">
        <v>2</v>
      </c>
      <c r="E12" s="23" t="n">
        <v>6</v>
      </c>
      <c r="F12" s="23" t="n">
        <f aca="false">D12*E12</f>
        <v>12</v>
      </c>
      <c r="G12" s="23"/>
      <c r="H12" s="7"/>
    </row>
    <row r="13" customFormat="false" ht="15" hidden="false" customHeight="false" outlineLevel="0" collapsed="false">
      <c r="A13" s="10" t="n">
        <v>9</v>
      </c>
      <c r="B13" s="5" t="s">
        <v>168</v>
      </c>
      <c r="C13" s="5" t="s">
        <v>165</v>
      </c>
      <c r="D13" s="5" t="n">
        <v>1</v>
      </c>
      <c r="E13" s="22" t="n">
        <v>15</v>
      </c>
      <c r="F13" s="22" t="n">
        <f aca="false">D13*E13</f>
        <v>15</v>
      </c>
      <c r="G13" s="22"/>
      <c r="H13" s="5" t="s">
        <v>169</v>
      </c>
    </row>
    <row r="14" customFormat="false" ht="15" hidden="false" customHeight="false" outlineLevel="0" collapsed="false">
      <c r="A14" s="13" t="n">
        <v>10</v>
      </c>
      <c r="B14" s="7" t="s">
        <v>170</v>
      </c>
      <c r="C14" s="7" t="s">
        <v>171</v>
      </c>
      <c r="D14" s="7" t="n">
        <v>6</v>
      </c>
      <c r="E14" s="23" t="n">
        <v>8</v>
      </c>
      <c r="F14" s="23" t="n">
        <f aca="false">D14*E14</f>
        <v>48</v>
      </c>
      <c r="G14" s="23"/>
      <c r="H14" s="7" t="s">
        <v>172</v>
      </c>
    </row>
    <row r="15" customFormat="false" ht="15" hidden="false" customHeight="false" outlineLevel="0" collapsed="false">
      <c r="A15" s="10" t="n">
        <v>11</v>
      </c>
      <c r="B15" s="5" t="s">
        <v>173</v>
      </c>
      <c r="C15" s="5" t="s">
        <v>171</v>
      </c>
      <c r="D15" s="5" t="n">
        <v>8</v>
      </c>
      <c r="E15" s="22" t="n">
        <v>2</v>
      </c>
      <c r="F15" s="22" t="n">
        <f aca="false">D15*E15</f>
        <v>16</v>
      </c>
      <c r="G15" s="22"/>
      <c r="H15" s="5"/>
    </row>
    <row r="16" customFormat="false" ht="15" hidden="false" customHeight="false" outlineLevel="0" collapsed="false">
      <c r="A16" s="13" t="n">
        <v>12</v>
      </c>
      <c r="B16" s="7" t="s">
        <v>174</v>
      </c>
      <c r="C16" s="7" t="s">
        <v>171</v>
      </c>
      <c r="D16" s="7" t="n">
        <v>10</v>
      </c>
      <c r="E16" s="23" t="n">
        <v>1</v>
      </c>
      <c r="F16" s="23" t="n">
        <f aca="false">D16*E16</f>
        <v>10</v>
      </c>
      <c r="G16" s="23"/>
      <c r="H16" s="7"/>
    </row>
    <row r="17" customFormat="false" ht="15" hidden="false" customHeight="false" outlineLevel="0" collapsed="false">
      <c r="A17" s="10" t="n">
        <v>13</v>
      </c>
      <c r="B17" s="5" t="s">
        <v>175</v>
      </c>
      <c r="C17" s="5" t="s">
        <v>176</v>
      </c>
      <c r="D17" s="5" t="n">
        <v>1</v>
      </c>
      <c r="E17" s="22" t="n">
        <v>25</v>
      </c>
      <c r="F17" s="22" t="n">
        <f aca="false">D17*E17</f>
        <v>25</v>
      </c>
      <c r="G17" s="22"/>
      <c r="H17" s="5" t="s">
        <v>177</v>
      </c>
    </row>
    <row r="18" customFormat="false" ht="15" hidden="false" customHeight="false" outlineLevel="0" collapsed="false">
      <c r="A18" s="13" t="n">
        <v>14</v>
      </c>
      <c r="B18" s="7" t="s">
        <v>178</v>
      </c>
      <c r="C18" s="7" t="s">
        <v>176</v>
      </c>
      <c r="D18" s="7" t="n">
        <v>1</v>
      </c>
      <c r="E18" s="23" t="n">
        <v>8</v>
      </c>
      <c r="F18" s="23" t="n">
        <f aca="false">D18*E18</f>
        <v>8</v>
      </c>
      <c r="G18" s="23"/>
      <c r="H18" s="7"/>
    </row>
    <row r="19" customFormat="false" ht="15" hidden="false" customHeight="false" outlineLevel="0" collapsed="false">
      <c r="A19" s="10" t="n">
        <v>15</v>
      </c>
      <c r="B19" s="5" t="s">
        <v>179</v>
      </c>
      <c r="C19" s="5" t="s">
        <v>180</v>
      </c>
      <c r="D19" s="5" t="n">
        <v>1</v>
      </c>
      <c r="E19" s="22" t="n">
        <v>12</v>
      </c>
      <c r="F19" s="22" t="n">
        <f aca="false">D19*E19</f>
        <v>12</v>
      </c>
      <c r="G19" s="22"/>
      <c r="H19" s="5"/>
    </row>
    <row r="20" customFormat="false" ht="15" hidden="false" customHeight="false" outlineLevel="0" collapsed="false">
      <c r="A20" s="13" t="n">
        <v>16</v>
      </c>
      <c r="B20" s="7" t="s">
        <v>181</v>
      </c>
      <c r="C20" s="7" t="s">
        <v>182</v>
      </c>
      <c r="D20" s="7" t="n">
        <v>1</v>
      </c>
      <c r="E20" s="23" t="n">
        <v>10</v>
      </c>
      <c r="F20" s="23" t="n">
        <f aca="false">D20*E20</f>
        <v>10</v>
      </c>
      <c r="G20" s="23"/>
      <c r="H20" s="7"/>
    </row>
    <row r="21" customFormat="false" ht="15" hidden="false" customHeight="false" outlineLevel="0" collapsed="false">
      <c r="A21" s="5" t="n">
        <v>17</v>
      </c>
      <c r="B21" s="5" t="s">
        <v>183</v>
      </c>
      <c r="C21" s="5" t="s">
        <v>184</v>
      </c>
      <c r="D21" s="5" t="n">
        <v>1</v>
      </c>
      <c r="E21" s="5"/>
      <c r="F21" s="22" t="n">
        <f aca="false">SUM(F5:F20)*0.1</f>
        <v>26.5</v>
      </c>
      <c r="G21" s="5"/>
      <c r="H21" s="5"/>
    </row>
    <row r="22" customFormat="false" ht="15" hidden="false" customHeight="false" outlineLevel="0" collapsed="false">
      <c r="A22" s="24"/>
      <c r="B22" s="24" t="s">
        <v>185</v>
      </c>
      <c r="C22" s="24"/>
      <c r="D22" s="24"/>
      <c r="E22" s="24"/>
      <c r="F22" s="25" t="n">
        <f aca="false">SUM(F5:F21)</f>
        <v>291.5</v>
      </c>
      <c r="G22" s="25" t="n">
        <f aca="false">SUM(G5:G21)</f>
        <v>0</v>
      </c>
      <c r="H22" s="24"/>
    </row>
  </sheetData>
  <mergeCells count="3">
    <mergeCell ref="A1:H1"/>
    <mergeCell ref="A2:H2"/>
    <mergeCell ref="A3: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6"/>
    <col collapsed="false" customWidth="true" hidden="false" outlineLevel="0" max="4" min="3" style="0" width="12"/>
    <col collapsed="false" customWidth="true" hidden="false" outlineLevel="0" max="5" min="5" style="0" width="34"/>
    <col collapsed="false" customWidth="true" hidden="false" outlineLevel="0" max="6" min="6" style="0" width="14"/>
    <col collapsed="false" customWidth="true" hidden="false" outlineLevel="0" max="7" min="7" style="0" width="12"/>
  </cols>
  <sheetData>
    <row r="1" customFormat="false" ht="36" hidden="false" customHeight="true" outlineLevel="0" collapsed="false">
      <c r="A1" s="1" t="s">
        <v>186</v>
      </c>
      <c r="B1" s="1"/>
      <c r="C1" s="1"/>
      <c r="D1" s="1"/>
      <c r="E1" s="1"/>
      <c r="F1" s="1"/>
      <c r="G1" s="1"/>
      <c r="H1" s="1"/>
    </row>
    <row r="2" customFormat="false" ht="19.5" hidden="false" customHeight="true" outlineLevel="0" collapsed="false">
      <c r="A2" s="2"/>
      <c r="B2" s="2"/>
      <c r="C2" s="2"/>
      <c r="D2" s="2"/>
      <c r="E2" s="2"/>
      <c r="F2" s="2"/>
      <c r="G2" s="2"/>
      <c r="H2" s="2"/>
    </row>
    <row r="3" customFormat="false" ht="18" hidden="false" customHeight="true" outlineLevel="0" collapsed="false">
      <c r="A3" s="3" t="s">
        <v>187</v>
      </c>
      <c r="B3" s="3"/>
      <c r="C3" s="3"/>
      <c r="D3" s="3"/>
      <c r="E3" s="3"/>
      <c r="F3" s="3"/>
      <c r="G3" s="3"/>
    </row>
    <row r="4" customFormat="false" ht="15" hidden="false" customHeight="false" outlineLevel="0" collapsed="false">
      <c r="A4" s="4" t="s">
        <v>56</v>
      </c>
      <c r="B4" s="4" t="s">
        <v>188</v>
      </c>
      <c r="C4" s="4" t="s">
        <v>189</v>
      </c>
      <c r="D4" s="4" t="s">
        <v>190</v>
      </c>
      <c r="E4" s="4" t="s">
        <v>191</v>
      </c>
      <c r="F4" s="4" t="s">
        <v>192</v>
      </c>
      <c r="G4" s="4" t="s">
        <v>62</v>
      </c>
    </row>
    <row r="5" customFormat="false" ht="36" hidden="false" customHeight="true" outlineLevel="0" collapsed="false">
      <c r="A5" s="10" t="n">
        <v>1</v>
      </c>
      <c r="B5" s="5" t="s">
        <v>193</v>
      </c>
      <c r="C5" s="21" t="s">
        <v>115</v>
      </c>
      <c r="D5" s="5" t="s">
        <v>194</v>
      </c>
      <c r="E5" s="5" t="s">
        <v>195</v>
      </c>
      <c r="F5" s="5"/>
      <c r="G5" s="18" t="s">
        <v>196</v>
      </c>
    </row>
    <row r="6" customFormat="false" ht="36" hidden="false" customHeight="true" outlineLevel="0" collapsed="false">
      <c r="A6" s="13" t="n">
        <v>2</v>
      </c>
      <c r="B6" s="7" t="s">
        <v>197</v>
      </c>
      <c r="C6" s="15" t="s">
        <v>115</v>
      </c>
      <c r="D6" s="7" t="s">
        <v>198</v>
      </c>
      <c r="E6" s="7" t="s">
        <v>199</v>
      </c>
      <c r="F6" s="7"/>
      <c r="G6" s="19" t="s">
        <v>196</v>
      </c>
    </row>
    <row r="7" customFormat="false" ht="36" hidden="false" customHeight="true" outlineLevel="0" collapsed="false">
      <c r="A7" s="10" t="n">
        <v>3</v>
      </c>
      <c r="B7" s="5" t="s">
        <v>200</v>
      </c>
      <c r="C7" s="21" t="s">
        <v>115</v>
      </c>
      <c r="D7" s="5" t="s">
        <v>198</v>
      </c>
      <c r="E7" s="5" t="s">
        <v>201</v>
      </c>
      <c r="F7" s="5"/>
      <c r="G7" s="18" t="s">
        <v>196</v>
      </c>
    </row>
    <row r="8" customFormat="false" ht="36" hidden="false" customHeight="true" outlineLevel="0" collapsed="false">
      <c r="A8" s="13" t="n">
        <v>4</v>
      </c>
      <c r="B8" s="7" t="s">
        <v>202</v>
      </c>
      <c r="C8" s="20" t="s">
        <v>203</v>
      </c>
      <c r="D8" s="7" t="s">
        <v>194</v>
      </c>
      <c r="E8" s="7" t="s">
        <v>204</v>
      </c>
      <c r="F8" s="7"/>
      <c r="G8" s="19" t="s">
        <v>196</v>
      </c>
    </row>
    <row r="9" customFormat="false" ht="36" hidden="false" customHeight="true" outlineLevel="0" collapsed="false">
      <c r="A9" s="10" t="n">
        <v>5</v>
      </c>
      <c r="B9" s="5" t="s">
        <v>205</v>
      </c>
      <c r="C9" s="12" t="s">
        <v>203</v>
      </c>
      <c r="D9" s="5" t="s">
        <v>198</v>
      </c>
      <c r="E9" s="5" t="s">
        <v>206</v>
      </c>
      <c r="F9" s="5"/>
      <c r="G9" s="18" t="s">
        <v>196</v>
      </c>
    </row>
    <row r="10" customFormat="false" ht="36" hidden="false" customHeight="true" outlineLevel="0" collapsed="false">
      <c r="A10" s="13" t="n">
        <v>6</v>
      </c>
      <c r="B10" s="7" t="s">
        <v>207</v>
      </c>
      <c r="C10" s="20" t="s">
        <v>203</v>
      </c>
      <c r="D10" s="7" t="s">
        <v>208</v>
      </c>
      <c r="E10" s="7" t="s">
        <v>209</v>
      </c>
      <c r="F10" s="7"/>
      <c r="G10" s="20" t="s">
        <v>210</v>
      </c>
    </row>
    <row r="11" customFormat="false" ht="36" hidden="false" customHeight="true" outlineLevel="0" collapsed="false">
      <c r="A11" s="10" t="n">
        <v>7</v>
      </c>
      <c r="B11" s="5" t="s">
        <v>211</v>
      </c>
      <c r="C11" s="21" t="s">
        <v>115</v>
      </c>
      <c r="D11" s="5" t="s">
        <v>208</v>
      </c>
      <c r="E11" s="5" t="s">
        <v>212</v>
      </c>
      <c r="F11" s="5"/>
      <c r="G11" s="18" t="s">
        <v>196</v>
      </c>
    </row>
  </sheetData>
  <mergeCells count="3">
    <mergeCell ref="A1:H1"/>
    <mergeCell ref="A2:H2"/>
    <mergeCell ref="A3:G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2026-06-04T18:12:48Z</dcterms:created>
  <dc:creator>openpyxl</dc:creator>
  <dc:description/>
  <dc:language>en-US</dc:language>
  <cp:lastModifiedBy/>
  <dcterms:modified xsi:type="dcterms:W3CDTF">2026-06-04T18:12:49Z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